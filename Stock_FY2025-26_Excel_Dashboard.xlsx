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Data" sheetId="2" state="visible" r:id="rId4"/>
    <sheet name="Product Data" sheetId="3" state="visible" r:id="rId5"/>
    <sheet name="Payment Data" sheetId="4" state="visible" r:id="rId6"/>
    <sheet name="Leader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<sst xmlns="http://schemas.openxmlformats.org/spreadsheetml/2006/main" count="98" uniqueCount="82">
  <si>
    <t xml:space="preserve">STOCK FY 2025-26  |  BUSINESS PERFORMANCE DASHBOARD</t>
  </si>
  <si>
    <t xml:space="preserve">TOTAL SALES</t>
  </si>
  <si>
    <t xml:space="preserve">TOTAL RECEIVED</t>
  </si>
  <si>
    <t xml:space="preserve">PENDING AMOUNT</t>
  </si>
  <si>
    <t xml:space="preserve">PEAK MONTH</t>
  </si>
  <si>
    <t xml:space="preserve">AVG MONTHLY SALES</t>
  </si>
  <si>
    <t xml:space="preserve">TOTAL PURCHASES</t>
  </si>
  <si>
    <t xml:space="preserve">TOTAL LABOUR</t>
  </si>
  <si>
    <t xml:space="preserve">TOTAL EXPENSES</t>
  </si>
  <si>
    <t xml:space="preserve">Rs 1,26,00,647</t>
  </si>
  <si>
    <t xml:space="preserve">Rs 1,06,29,154</t>
  </si>
  <si>
    <t xml:space="preserve">Rs 12,09,497</t>
  </si>
  <si>
    <t xml:space="preserve">Rs 16,00,034</t>
  </si>
  <si>
    <t xml:space="preserve">Rs 10,50,054</t>
  </si>
  <si>
    <t xml:space="preserve">Rs 10,02,867</t>
  </si>
  <si>
    <t xml:space="preserve">Rs 3,15,574</t>
  </si>
  <si>
    <t xml:space="preserve">Rs 13,18,441</t>
  </si>
  <si>
    <t xml:space="preserve">1,083 Transactions</t>
  </si>
  <si>
    <t xml:space="preserve">Collection: 84.4%</t>
  </si>
  <si>
    <t xml:space="preserve">Outstanding Dues</t>
  </si>
  <si>
    <t xml:space="preserve">March 2026</t>
  </si>
  <si>
    <t xml:space="preserve">Per Month</t>
  </si>
  <si>
    <t xml:space="preserve">Maka Material</t>
  </si>
  <si>
    <t xml:space="preserve">Kamgar Payments</t>
  </si>
  <si>
    <t xml:space="preserve">Purch + Labour</t>
  </si>
  <si>
    <t xml:space="preserve">CHARTS &amp; ANALYTICS</t>
  </si>
  <si>
    <t xml:space="preserve">Month</t>
  </si>
  <si>
    <t xml:space="preserve">Sales (Rs)</t>
  </si>
  <si>
    <t xml:space="preserve">Received (Rs)</t>
  </si>
  <si>
    <t xml:space="preserve">Pending (Rs)</t>
  </si>
  <si>
    <t xml:space="preserve">Transactions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</si>
  <si>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</si>
  <si>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</si>
  <si>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</si>
  <si>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</si>
  <si>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</si>
  <si>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</si>
  <si>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</si>
  <si>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</si>
  <si>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</si>
  <si>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</si>
  <si>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</si>
  <si>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</si>
  <si>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TOTAL</t>
  </si>
  <si>
    <t xml:space="preserve">Rank</t>
  </si>
  <si>
    <t xml:space="preserve">Product</t>
  </si>
  <si>
    <t xml:space="preserve">Revenue (Rs)</t>
  </si>
  <si>
    <t xml:space="preserve">Share (%)</t>
  </si>
  <si>
    <t xml:space="preserve">Quantity</t>
  </si>
  <si>
    <t xml:space="preserve">Sailege Bel</t>
  </si>
  <si>
    <t xml:space="preserve">Kadbakutti</t>
  </si>
  <si>
    <t xml:space="preserve">Gahukad</t>
  </si>
  <si>
    <t xml:space="preserve">Silage Bale</t>
  </si>
  <si>
    <t xml:space="preserve">Silage</t>
  </si>
  <si>
    <t xml:space="preserve">Turkad</t>
  </si>
  <si>
    <t xml:space="preserve">Silage Bag</t>
  </si>
  <si>
    <t xml:space="preserve">Sailege Bag</t>
  </si>
  <si>
    <t xml:space="preserve">Harbhra</t>
  </si>
  <si>
    <t xml:space="preserve">Advanta 756</t>
  </si>
  <si>
    <t xml:space="preserve">Payment Mode</t>
  </si>
  <si>
    <t xml:space="preserve">Amount (Rs)</t>
  </si>
  <si>
    <t xml:space="preserve">Count</t>
  </si>
  <si>
    <t xml:space="preserve">PhonePay</t>
  </si>
  <si>
    <t xml:space="preserve">Cash</t>
  </si>
  <si>
    <t xml:space="preserve">Unknown</t>
  </si>
  <si>
    <t xml:space="preserve">NEFT</t>
  </si>
  <si>
    <t xml:space="preserve">Other</t>
  </si>
  <si>
    <t xml:space="preserve">Cheque</t>
  </si>
  <si>
    <t xml:space="preserve">Letter</t>
  </si>
  <si>
    <t xml:space="preserve">PRODUCT PERFORMANCE LEADERBOARD — FY 2025-26</t>
  </si>
  <si>
    <t xml:space="preserve">Revenue Share</t>
  </si>
  <si>
    <t xml:space="preserve">Qty (Kg)</t>
  </si>
  <si>
    <t xml:space="preserve">1st</t>
  </si>
  <si>
    <t xml:space="preserve">2nd</t>
  </si>
  <si>
    <t xml:space="preserve">3rd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</si>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</sst>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b val="true"/>
      <sz val="13"/>
      <color rgb="FFC55A11"/>
      <name val="Arial"/>
      <family val="0"/>
      <charset val="1"/>
    </font>
    <font>
      <b val="true"/>
      <sz val="13"/>
      <color rgb="FF7030A0"/>
      <name val="Arial"/>
      <family val="0"/>
      <charset val="1"/>
    </font>
    <font>
      <b val="true"/>
      <sz val="13"/>
      <color rgb="FF1F7E92"/>
      <name val="Arial"/>
      <family val="0"/>
      <charset val="1"/>
    </font>
    <font>
      <b val="true"/>
      <sz val="13"/>
      <color rgb="FF833C11"/>
      <name val="Arial"/>
      <family val="0"/>
      <charset val="1"/>
    </font>
    <font>
      <b val="true"/>
      <sz val="13"/>
      <color rgb="FF7B2C2C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672A8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AB4744"/>
      </patternFill>
    </fill>
    <fill>
      <patternFill patternType="solid">
        <fgColor rgb="FF7030A0"/>
        <bgColor rgb="FF725990"/>
      </patternFill>
    </fill>
    <fill>
      <patternFill patternType="solid">
        <fgColor rgb="FF1F7E92"/>
        <bgColor rgb="FF2E75B6"/>
      </patternFill>
    </fill>
    <fill>
      <patternFill patternType="solid">
        <fgColor rgb="FF833C11"/>
        <bgColor rgb="FF7B2C2C"/>
      </patternFill>
    </fill>
    <fill>
      <patternFill patternType="solid">
        <fgColor rgb="FF7B2C2C"/>
        <bgColor rgb="FF833C11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0F0F0"/>
      </patternFill>
    </fill>
    <fill>
      <patternFill patternType="solid">
        <fgColor rgb="FFF7FBFF"/>
        <bgColor rgb="FFF9F9F9"/>
      </patternFill>
    </fill>
    <fill>
      <patternFill patternType="solid">
        <fgColor rgb="FFBDD7EE"/>
        <bgColor rgb="FFD0D7DE"/>
      </patternFill>
    </fill>
    <fill>
      <patternFill patternType="solid">
        <fgColor rgb="FFFFF9C4"/>
        <bgColor rgb="FFFFE8CC"/>
      </patternFill>
    </fill>
    <fill>
      <patternFill patternType="solid">
        <fgColor rgb="FFF0F0F0"/>
        <bgColor rgb="FFF2F2F2"/>
      </patternFill>
    </fill>
    <fill>
      <patternFill patternType="solid">
        <fgColor rgb="FFFFE8CC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030A0"/>
      <rgbColor rgb="FF1F7E92"/>
      <rgbColor rgb="FFD0D7DE"/>
      <rgbColor rgb="FF878787"/>
      <rgbColor rgb="FF93A9CE"/>
      <rgbColor rgb="FFAB4744"/>
      <rgbColor rgb="FFFFF9C4"/>
      <rgbColor rgb="FFF0F0F0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F7FBFF"/>
      <rgbColor rgb="FFFFE8CC"/>
      <rgbColor rgb="FFF9F9F9"/>
      <rgbColor rgb="FFFF99CC"/>
      <rgbColor rgb="FFCC99FF"/>
      <rgbColor rgb="FFD9D9D9"/>
      <rgbColor rgb="FF2E75B6"/>
      <rgbColor rgb="FF33CCCC"/>
      <rgbColor rgb="FF70AD47"/>
      <rgbColor rgb="FFFFCC00"/>
      <rgbColor rgb="FFFF9900"/>
      <rgbColor rgb="FFC55A11"/>
      <rgbColor rgb="FF725990"/>
      <rgbColor rgb="FF8AA64F"/>
      <rgbColor rgb="FF003366"/>
      <rgbColor rgb="FF4299B0"/>
      <rgbColor rgb="FF003300"/>
      <rgbColor rgb="FF595959"/>
      <rgbColor rgb="FF833C11"/>
      <rgbColor rgb="FF7B2C2C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Collections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Data'!B1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Data'!$B$2:$B$13</c:f>
              <c:numCache>
                <c:formatCode>#,##0</c:formatCode>
                <c:ptCount val="12"/>
                <c:pt idx="0">
                  <c:v>614385</c:v>
                </c:pt>
                <c:pt idx="1">
                  <c:v>808671</c:v>
                </c:pt>
                <c:pt idx="2">
                  <c:v>1371265</c:v>
                </c:pt>
                <c:pt idx="3">
                  <c:v>1013167</c:v>
                </c:pt>
                <c:pt idx="4">
                  <c:v>1106662</c:v>
                </c:pt>
                <c:pt idx="5">
                  <c:v>1152682</c:v>
                </c:pt>
                <c:pt idx="6">
                  <c:v>1045746</c:v>
                </c:pt>
                <c:pt idx="7">
                  <c:v>716436</c:v>
                </c:pt>
                <c:pt idx="8">
                  <c:v>731477</c:v>
                </c:pt>
                <c:pt idx="9">
                  <c:v>1123942</c:v>
                </c:pt>
                <c:pt idx="10">
                  <c:v>1306074</c:v>
                </c:pt>
                <c:pt idx="11">
                  <c:v>1600034</c:v>
                </c:pt>
              </c:numCache>
            </c:numRef>
          </c:val>
        </c:ser>
        <c:ser>
          <c:idx val="1"/>
          <c:order val="1"/>
          <c:tx>
            <c:strRef>
              <c:f>'Monthly Data'!C1</c:f>
              <c:strCache>
                <c:ptCount val="1"/>
                <c:pt idx="0">
                  <c:v>Received (Rs)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Data'!$C$2:$C$13</c:f>
              <c:numCache>
                <c:formatCode>#,##0</c:formatCode>
                <c:ptCount val="12"/>
                <c:pt idx="0">
                  <c:v>605752</c:v>
                </c:pt>
                <c:pt idx="1">
                  <c:v>789783</c:v>
                </c:pt>
                <c:pt idx="2">
                  <c:v>1294780</c:v>
                </c:pt>
                <c:pt idx="3">
                  <c:v>918002</c:v>
                </c:pt>
                <c:pt idx="4">
                  <c:v>957355</c:v>
                </c:pt>
                <c:pt idx="5">
                  <c:v>672988</c:v>
                </c:pt>
                <c:pt idx="6">
                  <c:v>495523</c:v>
                </c:pt>
                <c:pt idx="7">
                  <c:v>552633</c:v>
                </c:pt>
                <c:pt idx="8">
                  <c:v>609185</c:v>
                </c:pt>
                <c:pt idx="9">
                  <c:v>862300</c:v>
                </c:pt>
                <c:pt idx="10">
                  <c:v>1260723</c:v>
                </c:pt>
                <c:pt idx="11">
                  <c:v>1600030</c:v>
                </c:pt>
              </c:numCache>
            </c:numRef>
          </c:val>
        </c:ser>
        <c:gapWidth val="150"/>
        <c:overlap val="0"/>
        <c:axId val="5015584"/>
        <c:axId val="6597403"/>
      </c:barChart>
      <c:catAx>
        <c:axId val="501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7403"/>
        <c:crosses val="autoZero"/>
        <c:auto val="1"/>
        <c:lblAlgn val="ctr"/>
        <c:lblOffset val="100"/>
        <c:noMultiLvlLbl val="0"/>
      </c:catAx>
      <c:valAx>
        <c:axId val="6597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5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Pending Dues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Data'!D1</c:f>
              <c:strCache>
                <c:ptCount val="1"/>
                <c:pt idx="0">
                  <c:v>Pending (Rs)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Data'!$D$2:$D$13</c:f>
              <c:numCache>
                <c:formatCode>#,##0</c:formatCode>
                <c:ptCount val="12"/>
                <c:pt idx="0">
                  <c:v>142</c:v>
                </c:pt>
                <c:pt idx="1">
                  <c:v>18888</c:v>
                </c:pt>
                <c:pt idx="2">
                  <c:v>39518</c:v>
                </c:pt>
                <c:pt idx="3">
                  <c:v>39526</c:v>
                </c:pt>
                <c:pt idx="4">
                  <c:v>54997</c:v>
                </c:pt>
                <c:pt idx="5">
                  <c:v>200363</c:v>
                </c:pt>
                <c:pt idx="6">
                  <c:v>353195</c:v>
                </c:pt>
                <c:pt idx="7">
                  <c:v>144539</c:v>
                </c:pt>
                <c:pt idx="8">
                  <c:v>122398</c:v>
                </c:pt>
                <c:pt idx="9">
                  <c:v>235937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8299824"/>
        <c:axId val="72449155"/>
      </c:lineChart>
      <c:catAx>
        <c:axId val="782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49155"/>
        <c:crosses val="autoZero"/>
        <c:auto val="1"/>
        <c:lblAlgn val="ctr"/>
        <c:lblOffset val="100"/>
        <c:noMultiLvlLbl val="0"/>
      </c:catAx>
      <c:valAx>
        <c:axId val="72449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9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Data'!C1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Data'!$B$2:$B$11</c:f>
              <c:strCache>
                <c:ptCount val="10"/>
                <c:pt idx="0">
                  <c:v>Sailege Bel</c:v>
                </c:pt>
                <c:pt idx="1">
                  <c:v>Kadbakutti</c:v>
                </c:pt>
                <c:pt idx="2">
                  <c:v>Gahukad</c:v>
                </c:pt>
                <c:pt idx="3">
                  <c:v>Silage Bale</c:v>
                </c:pt>
                <c:pt idx="4">
                  <c:v>Silage</c:v>
                </c:pt>
                <c:pt idx="5">
                  <c:v>Turkad</c:v>
                </c:pt>
                <c:pt idx="6">
                  <c:v>Silage Bag</c:v>
                </c:pt>
                <c:pt idx="7">
                  <c:v>Sailege Bag</c:v>
                </c:pt>
                <c:pt idx="8">
                  <c:v>Harbhra</c:v>
                </c:pt>
                <c:pt idx="9">
                  <c:v>Advanta 756</c:v>
                </c:pt>
              </c:strCache>
            </c:strRef>
          </c:cat>
          <c:val>
            <c:numRef>
              <c:f>'Product Data'!$C$2:$C$11</c:f>
              <c:numCache>
                <c:formatCode>#,##0</c:formatCode>
                <c:ptCount val="10"/>
                <c:pt idx="0">
                  <c:v>3566421</c:v>
                </c:pt>
                <c:pt idx="1">
                  <c:v>3454016</c:v>
                </c:pt>
                <c:pt idx="2">
                  <c:v>2275731</c:v>
                </c:pt>
                <c:pt idx="3">
                  <c:v>1190877</c:v>
                </c:pt>
                <c:pt idx="4">
                  <c:v>760551</c:v>
                </c:pt>
                <c:pt idx="5">
                  <c:v>502551</c:v>
                </c:pt>
                <c:pt idx="6">
                  <c:v>390324</c:v>
                </c:pt>
                <c:pt idx="7">
                  <c:v>147253</c:v>
                </c:pt>
                <c:pt idx="8">
                  <c:v>136707</c:v>
                </c:pt>
                <c:pt idx="9">
                  <c:v>65940</c:v>
                </c:pt>
              </c:numCache>
            </c:numRef>
          </c:val>
        </c:ser>
        <c:gapWidth val="150"/>
        <c:overlap val="0"/>
        <c:axId val="21492784"/>
        <c:axId val="301520"/>
      </c:barChart>
      <c:catAx>
        <c:axId val="21492784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520"/>
        <c:crosses val="autoZero"/>
        <c:auto val="1"/>
        <c:lblAlgn val="ctr"/>
        <c:lblOffset val="100"/>
        <c:noMultiLvlLbl val="0"/>
      </c:catAx>
      <c:valAx>
        <c:axId val="301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92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Data'!B1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'Payment Data'!$A$2:$A$8</c:f>
              <c:strCache>
                <c:ptCount val="7"/>
                <c:pt idx="0">
                  <c:v>PhonePay</c:v>
                </c:pt>
                <c:pt idx="1">
                  <c:v>Cash</c:v>
                </c:pt>
                <c:pt idx="2">
                  <c:v>Unknown</c:v>
                </c:pt>
                <c:pt idx="3">
                  <c:v>NEFT</c:v>
                </c:pt>
                <c:pt idx="4">
                  <c:v>Other</c:v>
                </c:pt>
                <c:pt idx="5">
                  <c:v>Cheque</c:v>
                </c:pt>
                <c:pt idx="6">
                  <c:v>Letter</c:v>
                </c:pt>
              </c:strCache>
            </c:strRef>
          </c:cat>
          <c:val>
            <c:numRef>
              <c:f>'Payment Data'!$B$2:$B$8</c:f>
              <c:numCache>
                <c:formatCode>#,##0</c:formatCode>
                <c:ptCount val="7"/>
                <c:pt idx="0">
                  <c:v>5884779</c:v>
                </c:pt>
                <c:pt idx="1">
                  <c:v>3776578</c:v>
                </c:pt>
                <c:pt idx="2">
                  <c:v>2252461</c:v>
                </c:pt>
                <c:pt idx="3">
                  <c:v>250235</c:v>
                </c:pt>
                <c:pt idx="4">
                  <c:v>209850</c:v>
                </c:pt>
                <c:pt idx="5">
                  <c:v>140628</c:v>
                </c:pt>
                <c:pt idx="6">
                  <c:v>76012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Data'!E1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1f7e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Data'!$E$2:$E$13</c:f>
              <c:numCache>
                <c:formatCode>#,##0</c:formatCode>
                <c:ptCount val="12"/>
                <c:pt idx="0">
                  <c:v>80</c:v>
                </c:pt>
                <c:pt idx="1">
                  <c:v>89</c:v>
                </c:pt>
                <c:pt idx="2">
                  <c:v>130</c:v>
                </c:pt>
                <c:pt idx="3">
                  <c:v>103</c:v>
                </c:pt>
                <c:pt idx="4">
                  <c:v>60</c:v>
                </c:pt>
                <c:pt idx="5">
                  <c:v>84</c:v>
                </c:pt>
                <c:pt idx="6">
                  <c:v>52</c:v>
                </c:pt>
                <c:pt idx="7">
                  <c:v>42</c:v>
                </c:pt>
                <c:pt idx="8">
                  <c:v>63</c:v>
                </c:pt>
                <c:pt idx="9">
                  <c:v>101</c:v>
                </c:pt>
                <c:pt idx="10">
                  <c:v>152</c:v>
                </c:pt>
                <c:pt idx="11">
                  <c:v>116</c:v>
                </c:pt>
              </c:numCache>
            </c:numRef>
          </c:val>
        </c:ser>
        <c:gapWidth val="150"/>
        <c:overlap val="0"/>
        <c:axId val="22472175"/>
        <c:axId val="97849975"/>
      </c:barChart>
      <c:catAx>
        <c:axId val="2247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49975"/>
        <c:crosses val="autoZero"/>
        <c:auto val="1"/>
        <c:lblAlgn val="ctr"/>
        <c:lblOffset val="100"/>
        <c:noMultiLvlLbl val="0"/>
      </c:catAx>
      <c:valAx>
        <c:axId val="97849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72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Growth Trend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Data'!B1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Data'!$B$2:$B$13</c:f>
              <c:numCache>
                <c:formatCode>#,##0</c:formatCode>
                <c:ptCount val="12"/>
                <c:pt idx="0">
                  <c:v>614385</c:v>
                </c:pt>
                <c:pt idx="1">
                  <c:v>808671</c:v>
                </c:pt>
                <c:pt idx="2">
                  <c:v>1371265</c:v>
                </c:pt>
                <c:pt idx="3">
                  <c:v>1013167</c:v>
                </c:pt>
                <c:pt idx="4">
                  <c:v>1106662</c:v>
                </c:pt>
                <c:pt idx="5">
                  <c:v>1152682</c:v>
                </c:pt>
                <c:pt idx="6">
                  <c:v>1045746</c:v>
                </c:pt>
                <c:pt idx="7">
                  <c:v>716436</c:v>
                </c:pt>
                <c:pt idx="8">
                  <c:v>731477</c:v>
                </c:pt>
                <c:pt idx="9">
                  <c:v>1123942</c:v>
                </c:pt>
                <c:pt idx="10">
                  <c:v>1306074</c:v>
                </c:pt>
                <c:pt idx="11">
                  <c:v>1600034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400243"/>
        <c:axId val="25899721"/>
      </c:lineChart>
      <c:catAx>
        <c:axId val="4400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99721"/>
        <c:crosses val="autoZero"/>
        <c:auto val="1"/>
        <c:lblAlgn val="ctr"/>
        <c:lblOffset val="100"/>
        <c:noMultiLvlLbl val="0"/>
      </c:catAx>
      <c:valAx>
        <c:axId val="25899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0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292320</xdr:colOff>
      <xdr:row>32</xdr:row>
      <xdr:rowOff>107640</xdr:rowOff>
    </xdr:to>
    <xdr:graphicFrame>
      <xdr:nvGraphicFramePr>
        <xdr:cNvPr id="0" name="Chart 1"/>
        <xdr:cNvGraphicFramePr/>
      </xdr:nvGraphicFramePr>
      <xdr:xfrm>
        <a:off x="141120" y="186696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42480</xdr:colOff>
      <xdr:row>32</xdr:row>
      <xdr:rowOff>107640</xdr:rowOff>
    </xdr:to>
    <xdr:graphicFrame>
      <xdr:nvGraphicFramePr>
        <xdr:cNvPr id="1" name="Chart 2"/>
        <xdr:cNvGraphicFramePr/>
      </xdr:nvGraphicFramePr>
      <xdr:xfrm>
        <a:off x="5638680" y="186696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292320</xdr:colOff>
      <xdr:row>55</xdr:row>
      <xdr:rowOff>86400</xdr:rowOff>
    </xdr:to>
    <xdr:graphicFrame>
      <xdr:nvGraphicFramePr>
        <xdr:cNvPr id="2" name="Chart 3"/>
        <xdr:cNvGraphicFramePr/>
      </xdr:nvGraphicFramePr>
      <xdr:xfrm>
        <a:off x="141120" y="58672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42480</xdr:colOff>
      <xdr:row>55</xdr:row>
      <xdr:rowOff>86400</xdr:rowOff>
    </xdr:to>
    <xdr:graphicFrame>
      <xdr:nvGraphicFramePr>
        <xdr:cNvPr id="3" name="Chart 4"/>
        <xdr:cNvGraphicFramePr/>
      </xdr:nvGraphicFramePr>
      <xdr:xfrm>
        <a:off x="5638680" y="5867280"/>
        <a:ext cx="53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8</xdr:col>
      <xdr:colOff>292320</xdr:colOff>
      <xdr:row>70</xdr:row>
      <xdr:rowOff>149760</xdr:rowOff>
    </xdr:to>
    <xdr:graphicFrame>
      <xdr:nvGraphicFramePr>
        <xdr:cNvPr id="4" name="Chart 5"/>
        <xdr:cNvGraphicFramePr/>
      </xdr:nvGraphicFramePr>
      <xdr:xfrm>
        <a:off x="141120" y="98679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50</xdr:row>
      <xdr:rowOff>0</xdr:rowOff>
    </xdr:from>
    <xdr:to>
      <xdr:col>12</xdr:col>
      <xdr:colOff>42480</xdr:colOff>
      <xdr:row>70</xdr:row>
      <xdr:rowOff>149760</xdr:rowOff>
    </xdr:to>
    <xdr:graphicFrame>
      <xdr:nvGraphicFramePr>
        <xdr:cNvPr id="5" name="Chart 6"/>
        <xdr:cNvGraphicFramePr/>
      </xdr:nvGraphicFramePr>
      <xdr:xfrm>
        <a:off x="5638680" y="986796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12" min="9" style="0" width="14"/>
    <col collapsed="false" customWidth="true" hidden="false" outlineLevel="0" max="13" min="13" style="0" width="2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3" t="s">
        <v>2</v>
      </c>
      <c r="D4" s="4" t="s">
        <v>3</v>
      </c>
      <c r="E4" s="5" t="s">
        <v>4</v>
      </c>
      <c r="H4" s="6" t="s">
        <v>5</v>
      </c>
      <c r="I4" s="7" t="s">
        <v>6</v>
      </c>
      <c r="J4" s="3" t="s">
        <v>7</v>
      </c>
      <c r="K4" s="8" t="s">
        <v>8</v>
      </c>
    </row>
    <row r="5" customFormat="false" ht="21.75" hidden="false" customHeight="true" outlineLevel="0" collapsed="false">
      <c r="B5" s="9" t="s">
        <v>9</v>
      </c>
      <c r="C5" s="10" t="s">
        <v>10</v>
      </c>
      <c r="D5" s="11" t="s">
        <v>11</v>
      </c>
      <c r="E5" s="12" t="s">
        <v>12</v>
      </c>
      <c r="H5" s="13" t="s">
        <v>13</v>
      </c>
      <c r="I5" s="14" t="s">
        <v>14</v>
      </c>
      <c r="J5" s="10" t="s">
        <v>15</v>
      </c>
      <c r="K5" s="15" t="s">
        <v>16</v>
      </c>
    </row>
    <row r="6" customFormat="false" ht="21.75" hidden="false" customHeight="true" outlineLevel="0" collapsed="false">
      <c r="B6" s="16" t="s">
        <v>17</v>
      </c>
      <c r="C6" s="16" t="s">
        <v>18</v>
      </c>
      <c r="D6" s="16" t="s">
        <v>19</v>
      </c>
      <c r="E6" s="16" t="s">
        <v>20</v>
      </c>
      <c r="H6" s="16" t="s">
        <v>21</v>
      </c>
      <c r="I6" s="16" t="s">
        <v>22</v>
      </c>
      <c r="J6" s="16" t="s">
        <v>23</v>
      </c>
      <c r="K6" s="16" t="s">
        <v>24</v>
      </c>
    </row>
    <row r="7" customFormat="false" ht="21.75" hidden="false" customHeight="true" outlineLevel="0" collapsed="false"/>
    <row r="8" customFormat="false" ht="7.5" hidden="false" customHeight="true" outlineLevel="0" collapsed="false">
      <c r="B8" s="17" t="s">
        <v>25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mergeCells count="2">
    <mergeCell ref="A2:M2"/>
    <mergeCell ref="B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</row>
    <row r="2" customFormat="false" ht="15" hidden="false" customHeight="false" outlineLevel="0" collapsed="false">
      <c r="A2" s="19" t="s">
        <v>31</v>
      </c>
      <c r="B2" s="20" t="n">
        <v>614385</v>
      </c>
      <c r="C2" s="20" t="n">
        <v>605752</v>
      </c>
      <c r="D2" s="20" t="n">
        <v>142</v>
      </c>
      <c r="E2" s="20" t="n">
        <v>80</v>
      </c>
    </row>
    <row r="3" customFormat="false" ht="15" hidden="false" customHeight="false" outlineLevel="0" collapsed="false">
      <c r="A3" s="21" t="s">
        <v>32</v>
      </c>
      <c r="B3" s="22" t="n">
        <v>808671</v>
      </c>
      <c r="C3" s="22" t="n">
        <v>789783</v>
      </c>
      <c r="D3" s="22" t="n">
        <v>18888</v>
      </c>
      <c r="E3" s="22" t="n">
        <v>89</v>
      </c>
    </row>
    <row r="4" customFormat="false" ht="15" hidden="false" customHeight="false" outlineLevel="0" collapsed="false">
      <c r="A4" s="19" t="s">
        <v>33</v>
      </c>
      <c r="B4" s="20" t="n">
        <v>1371265</v>
      </c>
      <c r="C4" s="20" t="n">
        <v>1294780</v>
      </c>
      <c r="D4" s="20" t="n">
        <v>39518</v>
      </c>
      <c r="E4" s="20" t="n">
        <v>130</v>
      </c>
    </row>
    <row r="5" customFormat="false" ht="15" hidden="false" customHeight="false" outlineLevel="0" collapsed="false">
      <c r="A5" s="21" t="s">
        <v>34</v>
      </c>
      <c r="B5" s="22" t="n">
        <v>1013167</v>
      </c>
      <c r="C5" s="22" t="n">
        <v>918002</v>
      </c>
      <c r="D5" s="22" t="n">
        <v>39526</v>
      </c>
      <c r="E5" s="22" t="n">
        <v>103</v>
      </c>
    </row>
    <row r="6" customFormat="false" ht="15" hidden="false" customHeight="false" outlineLevel="0" collapsed="false">
      <c r="A6" s="19" t="s">
        <v>35</v>
      </c>
      <c r="B6" s="20" t="n">
        <v>1106662</v>
      </c>
      <c r="C6" s="20" t="n">
        <v>957355</v>
      </c>
      <c r="D6" s="20" t="n">
        <v>54997</v>
      </c>
      <c r="E6" s="20" t="n">
        <v>60</v>
      </c>
    </row>
    <row r="7" customFormat="false" ht="15" hidden="false" customHeight="false" outlineLevel="0" collapsed="false">
      <c r="A7" s="21" t="s">
        <v>36</v>
      </c>
      <c r="B7" s="22" t="n">
        <v>1152682</v>
      </c>
      <c r="C7" s="22" t="n">
        <v>672988</v>
      </c>
      <c r="D7" s="22" t="n">
        <v>200363</v>
      </c>
      <c r="E7" s="22" t="n">
        <v>84</v>
      </c>
    </row>
    <row r="8" customFormat="false" ht="15" hidden="false" customHeight="false" outlineLevel="0" collapsed="false">
      <c r="A8" s="19" t="s">
        <v>37</v>
      </c>
      <c r="B8" s="20" t="n">
        <v>1045746</v>
      </c>
      <c r="C8" s="20" t="n">
        <v>495523</v>
      </c>
      <c r="D8" s="20" t="n">
        <v>353195</v>
      </c>
      <c r="E8" s="20" t="n">
        <v>52</v>
      </c>
    </row>
    <row r="9" customFormat="false" ht="15" hidden="false" customHeight="false" outlineLevel="0" collapsed="false">
      <c r="A9" s="21" t="s">
        <v>38</v>
      </c>
      <c r="B9" s="22" t="n">
        <v>716436</v>
      </c>
      <c r="C9" s="22" t="n">
        <v>552633</v>
      </c>
      <c r="D9" s="22" t="n">
        <v>144539</v>
      </c>
      <c r="E9" s="22" t="n">
        <v>42</v>
      </c>
    </row>
    <row r="10" customFormat="false" ht="15" hidden="false" customHeight="false" outlineLevel="0" collapsed="false">
      <c r="A10" s="19" t="s">
        <v>39</v>
      </c>
      <c r="B10" s="20" t="n">
        <v>731477</v>
      </c>
      <c r="C10" s="20" t="n">
        <v>609185</v>
      </c>
      <c r="D10" s="20" t="n">
        <v>122398</v>
      </c>
      <c r="E10" s="20" t="n">
        <v>63</v>
      </c>
    </row>
    <row r="11" customFormat="false" ht="15" hidden="false" customHeight="false" outlineLevel="0" collapsed="false">
      <c r="A11" s="21" t="s">
        <v>40</v>
      </c>
      <c r="B11" s="22" t="n">
        <v>1123942</v>
      </c>
      <c r="C11" s="22" t="n">
        <v>862300</v>
      </c>
      <c r="D11" s="22" t="n">
        <v>235937</v>
      </c>
      <c r="E11" s="22" t="n">
        <v>101</v>
      </c>
    </row>
    <row r="12" customFormat="false" ht="15" hidden="false" customHeight="false" outlineLevel="0" collapsed="false">
      <c r="A12" s="19" t="s">
        <v>41</v>
      </c>
      <c r="B12" s="20" t="n">
        <v>1306074</v>
      </c>
      <c r="C12" s="20" t="n">
        <v>1260723</v>
      </c>
      <c r="D12" s="20" t="n">
        <v>0</v>
      </c>
      <c r="E12" s="20" t="n">
        <v>152</v>
      </c>
    </row>
    <row r="13" customFormat="false" ht="15" hidden="false" customHeight="false" outlineLevel="0" collapsed="false">
      <c r="A13" s="21" t="s">
        <v>42</v>
      </c>
      <c r="B13" s="22" t="n">
        <v>1600034</v>
      </c>
      <c r="C13" s="22" t="n">
        <v>1600030</v>
      </c>
      <c r="D13" s="22" t="n">
        <v>4</v>
      </c>
      <c r="E13" s="22" t="n">
        <v>116</v>
      </c>
    </row>
    <row r="14" customFormat="false" ht="15" hidden="false" customHeight="false" outlineLevel="0" collapsed="false">
      <c r="A14" s="23" t="s">
        <v>43</v>
      </c>
      <c r="B14" s="24" t="n">
        <f aca="false">SUM(B2:B13)</f>
        <v>12590541</v>
      </c>
      <c r="C14" s="24" t="n">
        <f aca="false">SUM(C2:C13)</f>
        <v>10619054</v>
      </c>
      <c r="D14" s="24" t="n">
        <f aca="false">SUM(D2:D13)</f>
        <v>1209507</v>
      </c>
      <c r="E14" s="24" t="n">
        <f aca="false">SUM(E2:E13)</f>
        <v>1072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30</v>
      </c>
    </row>
    <row r="2" customFormat="false" ht="15" hidden="false" customHeight="false" outlineLevel="0" collapsed="false">
      <c r="A2" s="19" t="n">
        <v>1</v>
      </c>
      <c r="B2" s="25" t="s">
        <v>49</v>
      </c>
      <c r="C2" s="20" t="n">
        <v>3566421</v>
      </c>
      <c r="D2" s="26" t="n">
        <f aca="false">C2/SUM($C$2:$C$11)</f>
        <v>0.285533632267608</v>
      </c>
      <c r="E2" s="20" t="n">
        <v>505864</v>
      </c>
      <c r="F2" s="19" t="n">
        <v>221</v>
      </c>
    </row>
    <row r="3" customFormat="false" ht="15" hidden="false" customHeight="false" outlineLevel="0" collapsed="false">
      <c r="A3" s="27" t="n">
        <v>2</v>
      </c>
      <c r="B3" s="28" t="s">
        <v>50</v>
      </c>
      <c r="C3" s="29" t="n">
        <v>3454016</v>
      </c>
      <c r="D3" s="30" t="n">
        <f aca="false">C3/SUM($C$2:$C$11)</f>
        <v>0.2765342999019</v>
      </c>
      <c r="E3" s="29" t="n">
        <v>272187</v>
      </c>
      <c r="F3" s="27" t="n">
        <v>379</v>
      </c>
    </row>
    <row r="4" customFormat="false" ht="15" hidden="false" customHeight="false" outlineLevel="0" collapsed="false">
      <c r="A4" s="19" t="n">
        <v>3</v>
      </c>
      <c r="B4" s="25" t="s">
        <v>51</v>
      </c>
      <c r="C4" s="20" t="n">
        <v>2275731</v>
      </c>
      <c r="D4" s="26" t="n">
        <f aca="false">C4/SUM($C$2:$C$11)</f>
        <v>0.182198831403807</v>
      </c>
      <c r="E4" s="20" t="n">
        <v>176416</v>
      </c>
      <c r="F4" s="19" t="n">
        <v>97</v>
      </c>
    </row>
    <row r="5" customFormat="false" ht="15" hidden="false" customHeight="false" outlineLevel="0" collapsed="false">
      <c r="A5" s="27" t="n">
        <v>4</v>
      </c>
      <c r="B5" s="28" t="s">
        <v>52</v>
      </c>
      <c r="C5" s="29" t="n">
        <v>1190877</v>
      </c>
      <c r="D5" s="30" t="n">
        <f aca="false">C5/SUM($C$2:$C$11)</f>
        <v>0.0953436050858698</v>
      </c>
      <c r="E5" s="29" t="n">
        <v>163718</v>
      </c>
      <c r="F5" s="27" t="n">
        <v>82</v>
      </c>
    </row>
    <row r="6" customFormat="false" ht="15" hidden="false" customHeight="false" outlineLevel="0" collapsed="false">
      <c r="A6" s="19" t="n">
        <v>5</v>
      </c>
      <c r="B6" s="25" t="s">
        <v>53</v>
      </c>
      <c r="C6" s="20" t="n">
        <v>760551</v>
      </c>
      <c r="D6" s="26" t="n">
        <f aca="false">C6/SUM($C$2:$C$11)</f>
        <v>0.0608909855439842</v>
      </c>
      <c r="E6" s="20" t="n">
        <v>108465</v>
      </c>
      <c r="F6" s="19" t="n">
        <v>46</v>
      </c>
    </row>
    <row r="7" customFormat="false" ht="15" hidden="false" customHeight="false" outlineLevel="0" collapsed="false">
      <c r="A7" s="27" t="n">
        <v>6</v>
      </c>
      <c r="B7" s="28" t="s">
        <v>54</v>
      </c>
      <c r="C7" s="29" t="n">
        <v>502551</v>
      </c>
      <c r="D7" s="30" t="n">
        <f aca="false">C7/SUM($C$2:$C$11)</f>
        <v>0.0402350738821129</v>
      </c>
      <c r="E7" s="29" t="n">
        <v>63269</v>
      </c>
      <c r="F7" s="27" t="n">
        <v>32</v>
      </c>
    </row>
    <row r="8" customFormat="false" ht="15" hidden="false" customHeight="false" outlineLevel="0" collapsed="false">
      <c r="A8" s="19" t="n">
        <v>7</v>
      </c>
      <c r="B8" s="25" t="s">
        <v>55</v>
      </c>
      <c r="C8" s="20" t="n">
        <v>390324</v>
      </c>
      <c r="D8" s="26" t="n">
        <f aca="false">C8/SUM($C$2:$C$11)</f>
        <v>0.0312499924942181</v>
      </c>
      <c r="E8" s="20" t="n">
        <v>57689</v>
      </c>
      <c r="F8" s="19" t="n">
        <v>90</v>
      </c>
    </row>
    <row r="9" customFormat="false" ht="15" hidden="false" customHeight="false" outlineLevel="0" collapsed="false">
      <c r="A9" s="27" t="n">
        <v>8</v>
      </c>
      <c r="B9" s="28" t="s">
        <v>56</v>
      </c>
      <c r="C9" s="29" t="n">
        <v>147253</v>
      </c>
      <c r="D9" s="30" t="n">
        <f aca="false">C9/SUM($C$2:$C$11)</f>
        <v>0.0117893215501765</v>
      </c>
      <c r="E9" s="29" t="n">
        <v>19032</v>
      </c>
      <c r="F9" s="27" t="n">
        <v>21</v>
      </c>
    </row>
    <row r="10" customFormat="false" ht="15" hidden="false" customHeight="false" outlineLevel="0" collapsed="false">
      <c r="A10" s="19" t="n">
        <v>9</v>
      </c>
      <c r="B10" s="25" t="s">
        <v>57</v>
      </c>
      <c r="C10" s="20" t="n">
        <v>136707</v>
      </c>
      <c r="D10" s="26" t="n">
        <f aca="false">C10/SUM($C$2:$C$11)</f>
        <v>0.0109449911455793</v>
      </c>
      <c r="E10" s="20" t="n">
        <v>15368</v>
      </c>
      <c r="F10" s="19" t="n">
        <v>5</v>
      </c>
    </row>
    <row r="11" customFormat="false" ht="15" hidden="false" customHeight="false" outlineLevel="0" collapsed="false">
      <c r="A11" s="27" t="n">
        <v>10</v>
      </c>
      <c r="B11" s="28" t="s">
        <v>58</v>
      </c>
      <c r="C11" s="29" t="n">
        <v>65940</v>
      </c>
      <c r="D11" s="30" t="n">
        <f aca="false">C11/SUM($C$2:$C$11)</f>
        <v>0.0052792667247434</v>
      </c>
      <c r="E11" s="29" t="n">
        <v>376</v>
      </c>
      <c r="F11" s="27" t="n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8" t="s">
        <v>59</v>
      </c>
      <c r="B1" s="18" t="s">
        <v>60</v>
      </c>
      <c r="C1" s="18" t="s">
        <v>47</v>
      </c>
      <c r="D1" s="18" t="s">
        <v>61</v>
      </c>
    </row>
    <row r="2" customFormat="false" ht="15" hidden="false" customHeight="false" outlineLevel="0" collapsed="false">
      <c r="A2" s="19" t="s">
        <v>62</v>
      </c>
      <c r="B2" s="20" t="n">
        <v>5884779</v>
      </c>
      <c r="C2" s="26" t="n">
        <f aca="false">B2/SUM($B$2:$B$8)</f>
        <v>0.46739675961553</v>
      </c>
      <c r="D2" s="19" t="n">
        <v>423</v>
      </c>
    </row>
    <row r="3" customFormat="false" ht="15" hidden="false" customHeight="false" outlineLevel="0" collapsed="false">
      <c r="A3" s="27" t="s">
        <v>63</v>
      </c>
      <c r="B3" s="29" t="n">
        <v>3776578</v>
      </c>
      <c r="C3" s="30" t="n">
        <f aca="false">B3/SUM($B$2:$B$8)</f>
        <v>0.299953544497644</v>
      </c>
      <c r="D3" s="27" t="n">
        <v>494</v>
      </c>
    </row>
    <row r="4" customFormat="false" ht="15" hidden="false" customHeight="false" outlineLevel="0" collapsed="false">
      <c r="A4" s="19" t="s">
        <v>64</v>
      </c>
      <c r="B4" s="20" t="n">
        <v>2252461</v>
      </c>
      <c r="C4" s="26" t="n">
        <f aca="false">B4/SUM($B$2:$B$8)</f>
        <v>0.178901021187093</v>
      </c>
      <c r="D4" s="19" t="n">
        <v>120</v>
      </c>
    </row>
    <row r="5" customFormat="false" ht="15" hidden="false" customHeight="false" outlineLevel="0" collapsed="false">
      <c r="A5" s="27" t="s">
        <v>65</v>
      </c>
      <c r="B5" s="29" t="n">
        <v>250235</v>
      </c>
      <c r="C5" s="30" t="n">
        <f aca="false">B5/SUM($B$2:$B$8)</f>
        <v>0.0198748378048508</v>
      </c>
      <c r="D5" s="27" t="n">
        <v>6</v>
      </c>
    </row>
    <row r="6" customFormat="false" ht="15" hidden="false" customHeight="false" outlineLevel="0" collapsed="false">
      <c r="A6" s="19" t="s">
        <v>66</v>
      </c>
      <c r="B6" s="20" t="n">
        <v>209850</v>
      </c>
      <c r="C6" s="26" t="n">
        <f aca="false">B6/SUM($B$2:$B$8)</f>
        <v>0.0166672716180708</v>
      </c>
      <c r="D6" s="19" t="n">
        <v>16</v>
      </c>
    </row>
    <row r="7" customFormat="false" ht="15" hidden="false" customHeight="false" outlineLevel="0" collapsed="false">
      <c r="A7" s="27" t="s">
        <v>67</v>
      </c>
      <c r="B7" s="29" t="n">
        <v>140628</v>
      </c>
      <c r="C7" s="30" t="n">
        <f aca="false">B7/SUM($B$2:$B$8)</f>
        <v>0.0111693355878297</v>
      </c>
      <c r="D7" s="27" t="n">
        <v>9</v>
      </c>
    </row>
    <row r="8" customFormat="false" ht="15" hidden="false" customHeight="false" outlineLevel="0" collapsed="false">
      <c r="A8" s="19" t="s">
        <v>68</v>
      </c>
      <c r="B8" s="20" t="n">
        <v>76012</v>
      </c>
      <c r="C8" s="26" t="n">
        <f aca="false">B8/SUM($B$2:$B$8)</f>
        <v>0.00603722968898164</v>
      </c>
      <c r="D8" s="19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31" t="s">
        <v>69</v>
      </c>
      <c r="B1" s="31"/>
      <c r="C1" s="31"/>
      <c r="D1" s="31"/>
      <c r="E1" s="31"/>
      <c r="F1" s="31"/>
    </row>
    <row r="2" customFormat="false" ht="21.75" hidden="false" customHeight="true" outlineLevel="0" collapsed="false">
      <c r="A2" s="32" t="s">
        <v>44</v>
      </c>
      <c r="B2" s="32" t="s">
        <v>45</v>
      </c>
      <c r="C2" s="32" t="s">
        <v>46</v>
      </c>
      <c r="D2" s="32" t="s">
        <v>70</v>
      </c>
      <c r="E2" s="32" t="s">
        <v>71</v>
      </c>
      <c r="F2" s="32" t="s">
        <v>30</v>
      </c>
    </row>
    <row r="3" customFormat="false" ht="19.5" hidden="false" customHeight="true" outlineLevel="0" collapsed="false">
      <c r="A3" s="33" t="s">
        <v>72</v>
      </c>
      <c r="B3" s="34" t="s">
        <v>49</v>
      </c>
      <c r="C3" s="35" t="n">
        <v>3566421</v>
      </c>
      <c r="D3" s="36" t="n">
        <v>0.285533632267608</v>
      </c>
      <c r="E3" s="35" t="n">
        <v>505864</v>
      </c>
      <c r="F3" s="33" t="n">
        <v>221</v>
      </c>
    </row>
    <row r="4" customFormat="false" ht="19.5" hidden="false" customHeight="true" outlineLevel="0" collapsed="false">
      <c r="A4" s="37" t="s">
        <v>73</v>
      </c>
      <c r="B4" s="38" t="s">
        <v>50</v>
      </c>
      <c r="C4" s="39" t="n">
        <v>3454016</v>
      </c>
      <c r="D4" s="40" t="n">
        <v>0.2765342999019</v>
      </c>
      <c r="E4" s="39" t="n">
        <v>272187</v>
      </c>
      <c r="F4" s="37" t="n">
        <v>379</v>
      </c>
    </row>
    <row r="5" customFormat="false" ht="19.5" hidden="false" customHeight="true" outlineLevel="0" collapsed="false">
      <c r="A5" s="41" t="s">
        <v>74</v>
      </c>
      <c r="B5" s="42" t="s">
        <v>51</v>
      </c>
      <c r="C5" s="43" t="n">
        <v>2275731</v>
      </c>
      <c r="D5" s="44" t="n">
        <v>0.182198831403807</v>
      </c>
      <c r="E5" s="43" t="n">
        <v>176416</v>
      </c>
      <c r="F5" s="41" t="n">
        <v>97</v>
      </c>
    </row>
    <row r="6" customFormat="false" ht="19.5" hidden="false" customHeight="true" outlineLevel="0" collapsed="false">
      <c r="A6" s="45" t="s">
        <v>75</v>
      </c>
      <c r="B6" s="46" t="s">
        <v>52</v>
      </c>
      <c r="C6" s="47" t="n">
        <v>1190877</v>
      </c>
      <c r="D6" s="48" t="n">
        <v>0.0953436050858698</v>
      </c>
      <c r="E6" s="47" t="n">
        <v>163718</v>
      </c>
      <c r="F6" s="45" t="n">
        <v>82</v>
      </c>
    </row>
    <row r="7" customFormat="false" ht="19.5" hidden="false" customHeight="true" outlineLevel="0" collapsed="false">
      <c r="A7" s="49" t="s">
        <v>76</v>
      </c>
      <c r="B7" s="50" t="s">
        <v>53</v>
      </c>
      <c r="C7" s="51" t="n">
        <v>760551</v>
      </c>
      <c r="D7" s="52" t="n">
        <v>0.0608909855439842</v>
      </c>
      <c r="E7" s="51" t="n">
        <v>108465</v>
      </c>
      <c r="F7" s="49" t="n">
        <v>46</v>
      </c>
    </row>
    <row r="8" customFormat="false" ht="19.5" hidden="false" customHeight="true" outlineLevel="0" collapsed="false">
      <c r="A8" s="45" t="s">
        <v>77</v>
      </c>
      <c r="B8" s="46" t="s">
        <v>54</v>
      </c>
      <c r="C8" s="47" t="n">
        <v>502551</v>
      </c>
      <c r="D8" s="48" t="n">
        <v>0.0402350738821129</v>
      </c>
      <c r="E8" s="47" t="n">
        <v>63269</v>
      </c>
      <c r="F8" s="45" t="n">
        <v>32</v>
      </c>
    </row>
    <row r="9" customFormat="false" ht="19.5" hidden="false" customHeight="true" outlineLevel="0" collapsed="false">
      <c r="A9" s="49" t="s">
        <v>78</v>
      </c>
      <c r="B9" s="50" t="s">
        <v>55</v>
      </c>
      <c r="C9" s="51" t="n">
        <v>390324</v>
      </c>
      <c r="D9" s="52" t="n">
        <v>0.0312499924942182</v>
      </c>
      <c r="E9" s="51" t="n">
        <v>57689</v>
      </c>
      <c r="F9" s="49" t="n">
        <v>90</v>
      </c>
    </row>
    <row r="10" customFormat="false" ht="19.5" hidden="false" customHeight="true" outlineLevel="0" collapsed="false">
      <c r="A10" s="45" t="s">
        <v>79</v>
      </c>
      <c r="B10" s="46" t="s">
        <v>56</v>
      </c>
      <c r="C10" s="47" t="n">
        <v>147253</v>
      </c>
      <c r="D10" s="48" t="n">
        <v>0.0117893215501765</v>
      </c>
      <c r="E10" s="47" t="n">
        <v>19032</v>
      </c>
      <c r="F10" s="45" t="n">
        <v>21</v>
      </c>
    </row>
    <row r="11" customFormat="false" ht="19.5" hidden="false" customHeight="true" outlineLevel="0" collapsed="false">
      <c r="A11" s="49" t="s">
        <v>80</v>
      </c>
      <c r="B11" s="50" t="s">
        <v>57</v>
      </c>
      <c r="C11" s="51" t="n">
        <v>136707</v>
      </c>
      <c r="D11" s="52" t="n">
        <v>0.0109449911455793</v>
      </c>
      <c r="E11" s="51" t="n">
        <v>15368</v>
      </c>
      <c r="F11" s="49" t="n">
        <v>5</v>
      </c>
    </row>
    <row r="12" customFormat="false" ht="19.5" hidden="false" customHeight="true" outlineLevel="0" collapsed="false">
      <c r="A12" s="45" t="s">
        <v>81</v>
      </c>
      <c r="B12" s="46" t="s">
        <v>58</v>
      </c>
      <c r="C12" s="47" t="n">
        <v>65940</v>
      </c>
      <c r="D12" s="48" t="n">
        <v>0.00527926672474341</v>
      </c>
      <c r="E12" s="47" t="n">
        <v>376</v>
      </c>
      <c r="F12" s="45" t="n">
        <v>64</v>
      </c>
    </row>
  </sheetData>
  <mergeCells count="1">
    <mergeCell ref="A1:F1"/>
  </mergeCells>
  <conditionalFormatting sqref="C3:C12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{B9A75071-9A2C-49FA-9C1C-D1C01D84F6B9}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A75071-9A2C-49FA-9C1C-D1C01D84F6B9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C3:C12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2026-05-11T10:36:56Z</dcterms:created>
  <dc:creator>openpyxl</dc:creator>
  <dc:description/>
  <dc:language>en-US</dc:language>
  <cp:lastModifiedBy/>
  <dcterms:modified xsi:type="dcterms:W3CDTF">2026-05-11T10:37:04Z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