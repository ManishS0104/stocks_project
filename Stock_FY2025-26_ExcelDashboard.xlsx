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6F4506B9-D8F2-43FA-A333-E6167800B1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Monthly Data" sheetId="2" r:id="rId2"/>
    <sheet name="Product Data" sheetId="3" r:id="rId3"/>
    <sheet name="Payment Data" sheetId="4" r:id="rId4"/>
    <sheet name="Leaderboard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3" i="4"/>
  <c r="C2" i="4"/>
  <c r="D11" i="3"/>
  <c r="D10" i="3"/>
  <c r="D9" i="3"/>
  <c r="D8" i="3"/>
  <c r="D7" i="3"/>
  <c r="D6" i="3"/>
  <c r="D5" i="3"/>
  <c r="D4" i="3"/>
  <c r="D3" i="3"/>
  <c r="D2" i="3"/>
  <c r="E14" i="2"/>
  <c r="D14" i="2"/>
  <c r="C14" i="2"/>
  <c r="B14" i="2"/>
</calcChain>
</file>

<file path=xl/sharedStrings.xml><?xml version="1.0" encoding="utf-8"?>
<sst xmlns="http://schemas.openxmlformats.org/spreadsheetml/2006/main" count="98" uniqueCount="82">
  <si>
    <t>STOCK FY 2025-26  |  BUSINESS PERFORMANCE DASHBOARD</t>
  </si>
  <si>
    <t>TOTAL SALES</t>
  </si>
  <si>
    <t>TOTAL RECEIVED</t>
  </si>
  <si>
    <t>PENDING AMOUNT</t>
  </si>
  <si>
    <t>PEAK MONTH</t>
  </si>
  <si>
    <t>AVG MONTHLY SALES</t>
  </si>
  <si>
    <t>TOTAL PURCHASES</t>
  </si>
  <si>
    <t>TOTAL LABOUR</t>
  </si>
  <si>
    <t>TOTAL EXPENSES</t>
  </si>
  <si>
    <t>Rs 1,26,00,647</t>
  </si>
  <si>
    <t>Rs 12,09,497</t>
  </si>
  <si>
    <t>Rs 16,00,034</t>
  </si>
  <si>
    <t>Rs 10,50,054</t>
  </si>
  <si>
    <t>Rs 10,02,867</t>
  </si>
  <si>
    <t>Rs 3,15,574</t>
  </si>
  <si>
    <t>Rs 13,18,441</t>
  </si>
  <si>
    <t>1,083 Transactions</t>
  </si>
  <si>
    <t>Collection: 84.4%</t>
  </si>
  <si>
    <t>Outstanding Dues</t>
  </si>
  <si>
    <t>March 2026</t>
  </si>
  <si>
    <t>Per Month</t>
  </si>
  <si>
    <t>Maka Material</t>
  </si>
  <si>
    <t>Kamgar Payments</t>
  </si>
  <si>
    <t>Purch + Labour</t>
  </si>
  <si>
    <t>CHARTS &amp; ANALYTICS</t>
  </si>
  <si>
    <t>Month</t>
  </si>
  <si>
    <t>Sales (Rs)</t>
  </si>
  <si>
    <t>Received (Rs)</t>
  </si>
  <si>
    <t>Pending (Rs)</t>
  </si>
  <si>
    <t>Transactions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</si>
  <si>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</si>
  <si>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</si>
  <si>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</si>
  <si>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</si>
  <si>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</si>
  <si>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</si>
  <si>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</si>
  <si>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</si>
  <si>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</si>
  <si>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</si>
  <si>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</si>
  <si>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</si>
  <si>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</si>
  <si>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Rank</t>
  </si>
  <si>
    <t>Product</t>
  </si>
  <si>
    <t>Revenue (Rs)</t>
  </si>
  <si>
    <t>Share (%)</t>
  </si>
  <si>
    <t>Quantity</t>
  </si>
  <si>
    <t>Sailege Bel</t>
  </si>
  <si>
    <t>Kadbakutti</t>
  </si>
  <si>
    <t>Gahukad</t>
  </si>
  <si>
    <t>Silage Bale</t>
  </si>
  <si>
    <t>Silage</t>
  </si>
  <si>
    <t>Turkad</t>
  </si>
  <si>
    <t>Silage Bag</t>
  </si>
  <si>
    <t>Sailege Bag</t>
  </si>
  <si>
    <t>Harbhra</t>
  </si>
  <si>
    <t>Advanta 756</t>
  </si>
  <si>
    <t>Payment Mode</t>
  </si>
  <si>
    <t>Amount (Rs)</t>
  </si>
  <si>
    <t>Count</t>
  </si>
  <si>
    <t>PhonePay</t>
  </si>
  <si>
    <t>Cash</t>
  </si>
  <si>
    <t>Unknown</t>
  </si>
  <si>
    <t>NEFT</t>
  </si>
  <si>
    <t>Other</t>
  </si>
  <si>
    <t>Cheque</t>
  </si>
  <si>
    <t>Letter</t>
  </si>
  <si>
    <t>PRODUCT PERFORMANCE LEADERBOARD — FY 2025-26</t>
  </si>
  <si>
    <t>Revenue Share</t>
  </si>
  <si>
    <t>Qty (Kg)</t>
  </si>
  <si>
    <t>1st</t>
  </si>
  <si>
    <t>2nd</t>
  </si>
  <si>
    <t>3rd</t>
  </si>
  <si>
    <t>4</t>
  </si>
  <si>
    <t>5</t>
  </si>
  <si>
    <t>6</t>
  </si>
  <si>
    <t>7</t>
  </si>
  <si>
    <t>8</t>
  </si>
  <si>
    <t>9</t>
  </si>
  <si>
    <t>10</t>
  </si>
  <si>
    <r>
      <t>Rs1,0</t>
    </r>
    <r>
      <rPr>
        <sz val="10"/>
        <color rgb="FF375623"/>
        <rFont val="Arial"/>
        <family val="2"/>
      </rPr>
      <t>6</t>
    </r>
    <r>
      <rPr>
        <sz val="11"/>
        <color rgb="FF375623"/>
        <rFont val="Arial"/>
        <family val="2"/>
      </rPr>
      <t>,29,154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</si>
</sst>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2E75B6"/>
      <name val="Arial"/>
      <charset val="1"/>
    </font>
    <font>
      <b/>
      <sz val="13"/>
      <color rgb="FF1F7E92"/>
      <name val="Arial"/>
      <charset val="1"/>
    </font>
    <font>
      <sz val="8"/>
      <color rgb="FF595959"/>
      <name val="Arial"/>
      <charset val="1"/>
    </font>
    <font>
      <b/>
      <sz val="9"/>
      <color rgb="FF2E75B6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4"/>
      <color rgb="FFFFFFFF"/>
      <name val="Arial"/>
      <charset val="1"/>
    </font>
    <font>
      <b/>
      <sz val="10"/>
      <color rgb="FF1F4E79"/>
      <name val="Arial"/>
      <charset val="1"/>
    </font>
    <font>
      <sz val="11"/>
      <name val="Arial"/>
      <charset val="1"/>
    </font>
    <font>
      <sz val="13"/>
      <color rgb="FF375623"/>
      <name val="Arial"/>
      <family val="2"/>
    </font>
    <font>
      <sz val="10"/>
      <color rgb="FF375623"/>
      <name val="Arial"/>
      <family val="2"/>
    </font>
    <font>
      <sz val="11"/>
      <color rgb="FF375623"/>
      <name val="Arial"/>
      <family val="2"/>
    </font>
    <font>
      <b/>
      <sz val="10"/>
      <color rgb="FFC55A11"/>
      <name val="Arial"/>
      <family val="2"/>
    </font>
    <font>
      <b/>
      <sz val="10"/>
      <color rgb="FF7030A0"/>
      <name val="Arial"/>
      <family val="2"/>
    </font>
    <font>
      <sz val="10"/>
      <color rgb="FF833C11"/>
      <name val="Arial"/>
      <family val="2"/>
    </font>
    <font>
      <sz val="10"/>
      <color rgb="FF7B2C2C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672A8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AB4744"/>
      </patternFill>
    </fill>
    <fill>
      <patternFill patternType="solid">
        <fgColor rgb="FF7030A0"/>
        <bgColor rgb="FF725990"/>
      </patternFill>
    </fill>
    <fill>
      <patternFill patternType="solid">
        <fgColor rgb="FF1F7E92"/>
        <bgColor rgb="FF2E75B6"/>
      </patternFill>
    </fill>
    <fill>
      <patternFill patternType="solid">
        <fgColor rgb="FF833C11"/>
        <bgColor rgb="FF7B2C2C"/>
      </patternFill>
    </fill>
    <fill>
      <patternFill patternType="solid">
        <fgColor rgb="FF7B2C2C"/>
        <bgColor rgb="FF833C11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0F0F0"/>
      </patternFill>
    </fill>
    <fill>
      <patternFill patternType="solid">
        <fgColor rgb="FFF7FBFF"/>
        <bgColor rgb="FFF9F9F9"/>
      </patternFill>
    </fill>
    <fill>
      <patternFill patternType="solid">
        <fgColor rgb="FFBDD7EE"/>
        <bgColor rgb="FFD0D7DE"/>
      </patternFill>
    </fill>
    <fill>
      <patternFill patternType="solid">
        <fgColor rgb="FFFFF9C4"/>
        <bgColor rgb="FFFFE8CC"/>
      </patternFill>
    </fill>
    <fill>
      <patternFill patternType="solid">
        <fgColor rgb="FFF0F0F0"/>
        <bgColor rgb="FFF2F2F2"/>
      </patternFill>
    </fill>
    <fill>
      <patternFill patternType="solid">
        <fgColor rgb="FFFFE8CC"/>
        <bgColor rgb="FFFFF9C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8" fillId="13" borderId="0" xfId="0" applyFont="1" applyFill="1"/>
    <xf numFmtId="3" fontId="8" fillId="13" borderId="1" xfId="0" applyNumberFormat="1" applyFont="1" applyFill="1" applyBorder="1" applyAlignment="1">
      <alignment horizontal="right" vertical="center"/>
    </xf>
    <xf numFmtId="0" fontId="0" fillId="12" borderId="1" xfId="0" applyFill="1" applyBorder="1" applyAlignment="1">
      <alignment horizontal="left" vertical="center"/>
    </xf>
    <xf numFmtId="164" fontId="0" fillId="12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3" fontId="0" fillId="10" borderId="1" xfId="0" applyNumberFormat="1" applyFill="1" applyBorder="1" applyAlignment="1">
      <alignment horizontal="right" vertical="center"/>
    </xf>
    <xf numFmtId="164" fontId="0" fillId="10" borderId="1" xfId="0" applyNumberForma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/>
    </xf>
    <xf numFmtId="3" fontId="8" fillId="14" borderId="1" xfId="0" applyNumberFormat="1" applyFont="1" applyFill="1" applyBorder="1" applyAlignment="1">
      <alignment horizontal="right" vertical="center"/>
    </xf>
    <xf numFmtId="164" fontId="8" fillId="14" borderId="1" xfId="0" applyNumberFormat="1" applyFont="1" applyFill="1" applyBorder="1" applyAlignment="1">
      <alignment horizontal="right" vertical="center"/>
    </xf>
    <xf numFmtId="0" fontId="8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/>
    </xf>
    <xf numFmtId="3" fontId="8" fillId="15" borderId="1" xfId="0" applyNumberFormat="1" applyFont="1" applyFill="1" applyBorder="1" applyAlignment="1">
      <alignment horizontal="right" vertical="center"/>
    </xf>
    <xf numFmtId="164" fontId="8" fillId="15" borderId="1" xfId="0" applyNumberFormat="1" applyFont="1" applyFill="1" applyBorder="1" applyAlignment="1">
      <alignment horizontal="right" vertical="center"/>
    </xf>
    <xf numFmtId="0" fontId="8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/>
    </xf>
    <xf numFmtId="3" fontId="8" fillId="16" borderId="1" xfId="0" applyNumberFormat="1" applyFont="1" applyFill="1" applyBorder="1" applyAlignment="1">
      <alignment horizontal="right" vertical="center"/>
    </xf>
    <xf numFmtId="164" fontId="8" fillId="16" borderId="1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/>
    </xf>
    <xf numFmtId="3" fontId="11" fillId="12" borderId="1" xfId="0" applyNumberFormat="1" applyFont="1" applyFill="1" applyBorder="1" applyAlignment="1">
      <alignment horizontal="right" vertical="center"/>
    </xf>
    <xf numFmtId="164" fontId="11" fillId="12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030A0"/>
      <rgbColor rgb="FF1F7E92"/>
      <rgbColor rgb="FFD0D7DE"/>
      <rgbColor rgb="FF878787"/>
      <rgbColor rgb="FF93A9CE"/>
      <rgbColor rgb="FFAB4744"/>
      <rgbColor rgb="FFFFF9C4"/>
      <rgbColor rgb="FFF0F0F0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F7FBFF"/>
      <rgbColor rgb="FFFFE8CC"/>
      <rgbColor rgb="FFF9F9F9"/>
      <rgbColor rgb="FFFF99CC"/>
      <rgbColor rgb="FFCC99FF"/>
      <rgbColor rgb="FFD9D9D9"/>
      <rgbColor rgb="FF2E75B6"/>
      <rgbColor rgb="FF33CCCC"/>
      <rgbColor rgb="FF70AD47"/>
      <rgbColor rgb="FFFFCC00"/>
      <rgbColor rgb="FFFF9900"/>
      <rgbColor rgb="FFC55A11"/>
      <rgbColor rgb="FF725990"/>
      <rgbColor rgb="FF8AA64F"/>
      <rgbColor rgb="FF003366"/>
      <rgbColor rgb="FF4299B0"/>
      <rgbColor rgb="FF003300"/>
      <rgbColor rgb="FF595959"/>
      <rgbColor rgb="FF833C11"/>
      <rgbColor rgb="FF7B2C2C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vs Collections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Data'!$B$1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Data'!$B$2:$B$13</c:f>
              <c:numCache>
                <c:formatCode>#,##0</c:formatCode>
                <c:ptCount val="12"/>
                <c:pt idx="0">
                  <c:v>614385</c:v>
                </c:pt>
                <c:pt idx="1">
                  <c:v>808671</c:v>
                </c:pt>
                <c:pt idx="2">
                  <c:v>1371265</c:v>
                </c:pt>
                <c:pt idx="3">
                  <c:v>1013167</c:v>
                </c:pt>
                <c:pt idx="4">
                  <c:v>1106662</c:v>
                </c:pt>
                <c:pt idx="5">
                  <c:v>1152682</c:v>
                </c:pt>
                <c:pt idx="6">
                  <c:v>1045746</c:v>
                </c:pt>
                <c:pt idx="7">
                  <c:v>716436</c:v>
                </c:pt>
                <c:pt idx="8">
                  <c:v>731477</c:v>
                </c:pt>
                <c:pt idx="9">
                  <c:v>1123942</c:v>
                </c:pt>
                <c:pt idx="10">
                  <c:v>1306074</c:v>
                </c:pt>
                <c:pt idx="11">
                  <c:v>1600034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E-4C53-9E76-40826822119C}"/>
            </c:ext>
          </c:extLst>
        </c:ser>
        <c:ser>
          <c:idx val="1"/>
          <c:order val="1"/>
          <c:tx>
            <c:strRef>
              <c:f>'Monthly Data'!$C$1</c:f>
              <c:strCache>
                <c:ptCount val="1"/>
                <c:pt idx="0">
                  <c:v>Received (Rs)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Data'!$C$2:$C$13</c:f>
              <c:numCache>
                <c:formatCode>#,##0</c:formatCode>
                <c:ptCount val="12"/>
                <c:pt idx="0">
                  <c:v>605752</c:v>
                </c:pt>
                <c:pt idx="1">
                  <c:v>789783</c:v>
                </c:pt>
                <c:pt idx="2">
                  <c:v>1294780</c:v>
                </c:pt>
                <c:pt idx="3">
                  <c:v>918002</c:v>
                </c:pt>
                <c:pt idx="4">
                  <c:v>957355</c:v>
                </c:pt>
                <c:pt idx="5">
                  <c:v>672988</c:v>
                </c:pt>
                <c:pt idx="6">
                  <c:v>495523</c:v>
                </c:pt>
                <c:pt idx="7">
                  <c:v>552633</c:v>
                </c:pt>
                <c:pt idx="8">
                  <c:v>609185</c:v>
                </c:pt>
                <c:pt idx="9">
                  <c:v>862300</c:v>
                </c:pt>
                <c:pt idx="10">
                  <c:v>1260723</c:v>
                </c:pt>
                <c:pt idx="11">
                  <c:v>1600030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E-4C53-9E76-408268221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584"/>
        <c:axId val="6597403"/>
      </c:barChart>
      <c:catAx>
        <c:axId val="501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7403"/>
        <c:crosses val="autoZero"/>
        <c:auto val="1"/>
        <c:lblAlgn val="ctr"/>
        <c:lblOffset val="100"/>
        <c:noMultiLvlLbl val="0"/>
      </c:catAx>
      <c:valAx>
        <c:axId val="6597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Pending Dues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Data'!$D$1</c:f>
              <c:strCache>
                <c:ptCount val="1"/>
                <c:pt idx="0">
                  <c:v>Pending (Rs)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Data'!$D$2:$D$13</c:f>
              <c:numCache>
                <c:formatCode>#,##0</c:formatCode>
                <c:ptCount val="12"/>
                <c:pt idx="0">
                  <c:v>142</c:v>
                </c:pt>
                <c:pt idx="1">
                  <c:v>18888</c:v>
                </c:pt>
                <c:pt idx="2">
                  <c:v>39518</c:v>
                </c:pt>
                <c:pt idx="3">
                  <c:v>39526</c:v>
                </c:pt>
                <c:pt idx="4">
                  <c:v>54997</c:v>
                </c:pt>
                <c:pt idx="5">
                  <c:v>200363</c:v>
                </c:pt>
                <c:pt idx="6">
                  <c:v>353195</c:v>
                </c:pt>
                <c:pt idx="7">
                  <c:v>144539</c:v>
                </c:pt>
                <c:pt idx="8">
                  <c:v>122398</c:v>
                </c:pt>
                <c:pt idx="9">
                  <c:v>235937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B2-4E94-B36F-DF376926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8299824"/>
        <c:axId val="72449155"/>
      </c:lineChart>
      <c:catAx>
        <c:axId val="782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49155"/>
        <c:crosses val="autoZero"/>
        <c:auto val="1"/>
        <c:lblAlgn val="ctr"/>
        <c:lblOffset val="100"/>
        <c:noMultiLvlLbl val="0"/>
      </c:catAx>
      <c:valAx>
        <c:axId val="72449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99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Products by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Data'!$C$1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Data'!$B$2:$B$11</c:f>
              <c:strCache>
                <c:ptCount val="10"/>
                <c:pt idx="0">
                  <c:v>Sailege Bel</c:v>
                </c:pt>
                <c:pt idx="1">
                  <c:v>Kadbakutti</c:v>
                </c:pt>
                <c:pt idx="2">
                  <c:v>Gahukad</c:v>
                </c:pt>
                <c:pt idx="3">
                  <c:v>Silage Bale</c:v>
                </c:pt>
                <c:pt idx="4">
                  <c:v>Silage</c:v>
                </c:pt>
                <c:pt idx="5">
                  <c:v>Turkad</c:v>
                </c:pt>
                <c:pt idx="6">
                  <c:v>Silage Bag</c:v>
                </c:pt>
                <c:pt idx="7">
                  <c:v>Sailege Bag</c:v>
                </c:pt>
                <c:pt idx="8">
                  <c:v>Harbhra</c:v>
                </c:pt>
                <c:pt idx="9">
                  <c:v>Advanta 756</c:v>
                </c:pt>
              </c:strCache>
            </c:strRef>
          </c:cat>
          <c:val>
            <c:numRef>
              <c:f>'Product Data'!$C$2:$C$11</c:f>
              <c:numCache>
                <c:formatCode>#,##0</c:formatCode>
                <c:ptCount val="10"/>
                <c:pt idx="0">
                  <c:v>3566421</c:v>
                </c:pt>
                <c:pt idx="1">
                  <c:v>3454016</c:v>
                </c:pt>
                <c:pt idx="2">
                  <c:v>2275731</c:v>
                </c:pt>
                <c:pt idx="3">
                  <c:v>1190877</c:v>
                </c:pt>
                <c:pt idx="4">
                  <c:v>760551</c:v>
                </c:pt>
                <c:pt idx="5">
                  <c:v>502551</c:v>
                </c:pt>
                <c:pt idx="6">
                  <c:v>390324</c:v>
                </c:pt>
                <c:pt idx="7">
                  <c:v>147253</c:v>
                </c:pt>
                <c:pt idx="8">
                  <c:v>136707</c:v>
                </c:pt>
                <c:pt idx="9">
                  <c:v>65940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2-42EE-9C89-37AA75BE4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2784"/>
        <c:axId val="301520"/>
      </c:barChart>
      <c:catAx>
        <c:axId val="214927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520"/>
        <c:crosses val="autoZero"/>
        <c:auto val="1"/>
        <c:lblAlgn val="ctr"/>
        <c:lblOffset val="100"/>
        <c:noMultiLvlLbl val="0"/>
      </c:catAx>
      <c:valAx>
        <c:axId val="3015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92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'Payment Data'!$B$1</c:f>
              <c:strCache>
                <c:ptCount val="1"/>
                <c:pt idx="0">
                  <c:v>Amount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A5E-469C-9DCD-73A0E7499A39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A5E-469C-9DCD-73A0E7499A39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A5E-469C-9DCD-73A0E7499A39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A5E-469C-9DCD-73A0E7499A39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EA5E-469C-9DCD-73A0E7499A39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EA5E-469C-9DCD-73A0E7499A39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EA5E-469C-9DCD-73A0E7499A3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A5E-469C-9DCD-73A0E7499A3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A5E-469C-9DCD-73A0E7499A3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A5E-469C-9DCD-73A0E7499A39}"/>
                </c:ext>
              </c:extLst>
            </c:dLbl>
            <c:dLbl>
              <c:idx val="3"/>
              <c:layout>
                <c:manualLayout>
                  <c:x val="0.14172480664413387"/>
                  <c:y val="3.1727146539758082E-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496189975944705"/>
                      <c:h val="7.76883386211910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A5E-469C-9DCD-73A0E7499A39}"/>
                </c:ext>
              </c:extLst>
            </c:dLbl>
            <c:dLbl>
              <c:idx val="4"/>
              <c:layout>
                <c:manualLayout>
                  <c:x val="-0.2151893783685028"/>
                  <c:y val="4.5354740894969922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5E-469C-9DCD-73A0E7499A39}"/>
                </c:ext>
              </c:extLst>
            </c:dLbl>
            <c:dLbl>
              <c:idx val="5"/>
              <c:layout>
                <c:manualLayout>
                  <c:x val="0.24171357830151335"/>
                  <c:y val="4.703694064379669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093891781614447"/>
                      <c:h val="9.64052895102121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A5E-469C-9DCD-73A0E7499A39}"/>
                </c:ext>
              </c:extLst>
            </c:dLbl>
            <c:dLbl>
              <c:idx val="6"/>
              <c:layout>
                <c:manualLayout>
                  <c:x val="0.46096457172436894"/>
                  <c:y val="3.202541476634278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5E-469C-9DCD-73A0E7499A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'Payment Data'!$A$2:$A$8</c:f>
              <c:strCache>
                <c:ptCount val="7"/>
                <c:pt idx="0">
                  <c:v>PhonePay</c:v>
                </c:pt>
                <c:pt idx="1">
                  <c:v>Cash</c:v>
                </c:pt>
                <c:pt idx="2">
                  <c:v>Unknown</c:v>
                </c:pt>
                <c:pt idx="3">
                  <c:v>NEFT</c:v>
                </c:pt>
                <c:pt idx="4">
                  <c:v>Other</c:v>
                </c:pt>
                <c:pt idx="5">
                  <c:v>Cheque</c:v>
                </c:pt>
                <c:pt idx="6">
                  <c:v>Letter</c:v>
                </c:pt>
              </c:strCache>
            </c:strRef>
          </c:cat>
          <c:val>
            <c:numRef>
              <c:f>'Payment Data'!$B$2:$B$8</c:f>
              <c:numCache>
                <c:formatCode>#,##0</c:formatCode>
                <c:ptCount val="7"/>
                <c:pt idx="0">
                  <c:v>5884779</c:v>
                </c:pt>
                <c:pt idx="1">
                  <c:v>3776578</c:v>
                </c:pt>
                <c:pt idx="2">
                  <c:v>2252461</c:v>
                </c:pt>
                <c:pt idx="3">
                  <c:v>250235</c:v>
                </c:pt>
                <c:pt idx="4">
                  <c:v>209850</c:v>
                </c:pt>
                <c:pt idx="5">
                  <c:v>140628</c:v>
                </c:pt>
                <c:pt idx="6">
                  <c:v>76012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A5E-469C-9DCD-73A0E7499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Transaction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Data'!$E$1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1F7E9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Data'!$E$2:$E$13</c:f>
              <c:numCache>
                <c:formatCode>#,##0</c:formatCode>
                <c:ptCount val="12"/>
                <c:pt idx="0">
                  <c:v>80</c:v>
                </c:pt>
                <c:pt idx="1">
                  <c:v>89</c:v>
                </c:pt>
                <c:pt idx="2">
                  <c:v>130</c:v>
                </c:pt>
                <c:pt idx="3">
                  <c:v>103</c:v>
                </c:pt>
                <c:pt idx="4">
                  <c:v>60</c:v>
                </c:pt>
                <c:pt idx="5">
                  <c:v>84</c:v>
                </c:pt>
                <c:pt idx="6">
                  <c:v>52</c:v>
                </c:pt>
                <c:pt idx="7">
                  <c:v>42</c:v>
                </c:pt>
                <c:pt idx="8">
                  <c:v>63</c:v>
                </c:pt>
                <c:pt idx="9">
                  <c:v>101</c:v>
                </c:pt>
                <c:pt idx="10">
                  <c:v>152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C-41DC-8F9F-2CB07843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72175"/>
        <c:axId val="97849975"/>
      </c:barChart>
      <c:catAx>
        <c:axId val="2247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49975"/>
        <c:crosses val="autoZero"/>
        <c:auto val="1"/>
        <c:lblAlgn val="ctr"/>
        <c:lblOffset val="100"/>
        <c:noMultiLvlLbl val="0"/>
      </c:catAx>
      <c:valAx>
        <c:axId val="97849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72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Growth Trend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Data'!$B$1</c:f>
              <c:strCache>
                <c:ptCount val="1"/>
                <c:pt idx="0">
                  <c:v>Sales (Rs)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  <c:pt idx="10">
                  <c:v>Feb-26</c:v>
                </c:pt>
                <c:pt idx="11">
                  <c:v>Mar-26</c:v>
                </c:pt>
              </c:strCache>
            </c:strRef>
          </c:cat>
          <c:val>
            <c:numRef>
              <c:f>'Monthly Data'!$B$2:$B$13</c:f>
              <c:numCache>
                <c:formatCode>#,##0</c:formatCode>
                <c:ptCount val="12"/>
                <c:pt idx="0">
                  <c:v>614385</c:v>
                </c:pt>
                <c:pt idx="1">
                  <c:v>808671</c:v>
                </c:pt>
                <c:pt idx="2">
                  <c:v>1371265</c:v>
                </c:pt>
                <c:pt idx="3">
                  <c:v>1013167</c:v>
                </c:pt>
                <c:pt idx="4">
                  <c:v>1106662</c:v>
                </c:pt>
                <c:pt idx="5">
                  <c:v>1152682</c:v>
                </c:pt>
                <c:pt idx="6">
                  <c:v>1045746</c:v>
                </c:pt>
                <c:pt idx="7">
                  <c:v>716436</c:v>
                </c:pt>
                <c:pt idx="8">
                  <c:v>731477</c:v>
                </c:pt>
                <c:pt idx="9">
                  <c:v>1123942</c:v>
                </c:pt>
                <c:pt idx="10">
                  <c:v>1306074</c:v>
                </c:pt>
                <c:pt idx="11">
                  <c:v>1600034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4C-4F08-BADD-FFF4D234A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00243"/>
        <c:axId val="25899721"/>
      </c:lineChart>
      <c:catAx>
        <c:axId val="4400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99721"/>
        <c:crosses val="autoZero"/>
        <c:auto val="1"/>
        <c:lblAlgn val="ctr"/>
        <c:lblOffset val="100"/>
        <c:noMultiLvlLbl val="0"/>
      </c:catAx>
      <c:valAx>
        <c:axId val="25899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0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6</xdr:row>
      <xdr:rowOff>160020</xdr:rowOff>
    </xdr:from>
    <xdr:to>
      <xdr:col>8</xdr:col>
      <xdr:colOff>277080</xdr:colOff>
      <xdr:row>28</xdr:row>
      <xdr:rowOff>61920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457200</xdr:colOff>
      <xdr:row>6</xdr:row>
      <xdr:rowOff>175260</xdr:rowOff>
    </xdr:from>
    <xdr:to>
      <xdr:col>16</xdr:col>
      <xdr:colOff>251460</xdr:colOff>
      <xdr:row>28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15240</xdr:colOff>
      <xdr:row>30</xdr:row>
      <xdr:rowOff>60960</xdr:rowOff>
    </xdr:from>
    <xdr:to>
      <xdr:col>8</xdr:col>
      <xdr:colOff>307560</xdr:colOff>
      <xdr:row>56</xdr:row>
      <xdr:rowOff>147360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426720</xdr:colOff>
      <xdr:row>30</xdr:row>
      <xdr:rowOff>38100</xdr:rowOff>
    </xdr:from>
    <xdr:to>
      <xdr:col>16</xdr:col>
      <xdr:colOff>304800</xdr:colOff>
      <xdr:row>56</xdr:row>
      <xdr:rowOff>124500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129540</xdr:colOff>
      <xdr:row>58</xdr:row>
      <xdr:rowOff>22860</xdr:rowOff>
    </xdr:from>
    <xdr:to>
      <xdr:col>8</xdr:col>
      <xdr:colOff>284700</xdr:colOff>
      <xdr:row>78</xdr:row>
      <xdr:rowOff>172620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426720</xdr:colOff>
      <xdr:row>58</xdr:row>
      <xdr:rowOff>38100</xdr:rowOff>
    </xdr:from>
    <xdr:to>
      <xdr:col>16</xdr:col>
      <xdr:colOff>335280</xdr:colOff>
      <xdr:row>79</xdr:row>
      <xdr:rowOff>4980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zoomScaleNormal="100" workbookViewId="0">
      <selection activeCell="R67" sqref="R67"/>
    </sheetView>
  </sheetViews>
  <sheetFormatPr defaultColWidth="8.6640625" defaultRowHeight="14.4" x14ac:dyDescent="0.3"/>
  <cols>
    <col min="1" max="1" width="2" customWidth="1"/>
    <col min="2" max="2" width="20" customWidth="1"/>
    <col min="3" max="6" width="14" customWidth="1"/>
    <col min="7" max="7" width="2" customWidth="1"/>
    <col min="8" max="8" width="20" customWidth="1"/>
    <col min="9" max="12" width="14" customWidth="1"/>
    <col min="13" max="13" width="2" customWidth="1"/>
  </cols>
  <sheetData>
    <row r="1" spans="1:13" ht="7.5" customHeight="1" x14ac:dyDescent="0.3"/>
    <row r="2" spans="1:13" ht="37.5" customHeigh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7.5" customHeight="1" x14ac:dyDescent="0.3"/>
    <row r="4" spans="1:13" ht="21.75" customHeight="1" x14ac:dyDescent="0.3">
      <c r="B4" s="4" t="s">
        <v>1</v>
      </c>
      <c r="C4" s="5" t="s">
        <v>2</v>
      </c>
      <c r="D4" s="6" t="s">
        <v>3</v>
      </c>
      <c r="E4" s="7" t="s">
        <v>4</v>
      </c>
      <c r="H4" s="8" t="s">
        <v>5</v>
      </c>
      <c r="I4" s="9" t="s">
        <v>6</v>
      </c>
      <c r="J4" s="5" t="s">
        <v>7</v>
      </c>
      <c r="K4" s="10" t="s">
        <v>8</v>
      </c>
    </row>
    <row r="5" spans="1:13" ht="21.75" customHeight="1" x14ac:dyDescent="0.3">
      <c r="B5" s="11" t="s">
        <v>9</v>
      </c>
      <c r="C5" s="48" t="s">
        <v>81</v>
      </c>
      <c r="D5" s="49" t="s">
        <v>10</v>
      </c>
      <c r="E5" s="50" t="s">
        <v>11</v>
      </c>
      <c r="H5" s="12" t="s">
        <v>12</v>
      </c>
      <c r="I5" s="51" t="s">
        <v>13</v>
      </c>
      <c r="J5" s="53" t="s">
        <v>14</v>
      </c>
      <c r="K5" s="52" t="s">
        <v>15</v>
      </c>
    </row>
    <row r="6" spans="1:13" ht="21.75" customHeight="1" x14ac:dyDescent="0.3">
      <c r="B6" s="13" t="s">
        <v>16</v>
      </c>
      <c r="C6" s="13" t="s">
        <v>17</v>
      </c>
      <c r="D6" s="13" t="s">
        <v>18</v>
      </c>
      <c r="E6" s="13" t="s">
        <v>19</v>
      </c>
      <c r="H6" s="13" t="s">
        <v>20</v>
      </c>
      <c r="I6" s="13" t="s">
        <v>21</v>
      </c>
      <c r="J6" s="13" t="s">
        <v>22</v>
      </c>
      <c r="K6" s="13" t="s">
        <v>23</v>
      </c>
    </row>
    <row r="7" spans="1:13" ht="21.75" customHeight="1" x14ac:dyDescent="0.3"/>
    <row r="8" spans="1:13" ht="7.5" customHeight="1" x14ac:dyDescent="0.3">
      <c r="B8" s="2" t="s">
        <v>24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</sheetData>
  <mergeCells count="2">
    <mergeCell ref="A2:M2"/>
    <mergeCell ref="B8:M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zoomScaleNormal="100" workbookViewId="0"/>
  </sheetViews>
  <sheetFormatPr defaultColWidth="8.6640625" defaultRowHeight="14.4" x14ac:dyDescent="0.3"/>
  <cols>
    <col min="1" max="1" width="13" customWidth="1"/>
    <col min="2" max="4" width="16" customWidth="1"/>
    <col min="5" max="5" width="14" customWidth="1"/>
  </cols>
  <sheetData>
    <row r="1" spans="1:5" x14ac:dyDescent="0.3">
      <c r="A1" s="14" t="s">
        <v>25</v>
      </c>
      <c r="B1" s="14" t="s">
        <v>26</v>
      </c>
      <c r="C1" s="14" t="s">
        <v>27</v>
      </c>
      <c r="D1" s="14" t="s">
        <v>28</v>
      </c>
      <c r="E1" s="14" t="s">
        <v>29</v>
      </c>
    </row>
    <row r="2" spans="1:5" x14ac:dyDescent="0.3">
      <c r="A2" s="15" t="s">
        <v>30</v>
      </c>
      <c r="B2" s="16">
        <v>614385</v>
      </c>
      <c r="C2" s="16">
        <v>605752</v>
      </c>
      <c r="D2" s="16">
        <v>142</v>
      </c>
      <c r="E2" s="16">
        <v>80</v>
      </c>
    </row>
    <row r="3" spans="1:5" x14ac:dyDescent="0.3">
      <c r="A3" s="17" t="s">
        <v>31</v>
      </c>
      <c r="B3" s="18">
        <v>808671</v>
      </c>
      <c r="C3" s="18">
        <v>789783</v>
      </c>
      <c r="D3" s="18">
        <v>18888</v>
      </c>
      <c r="E3" s="18">
        <v>89</v>
      </c>
    </row>
    <row r="4" spans="1:5" x14ac:dyDescent="0.3">
      <c r="A4" s="15" t="s">
        <v>32</v>
      </c>
      <c r="B4" s="16">
        <v>1371265</v>
      </c>
      <c r="C4" s="16">
        <v>1294780</v>
      </c>
      <c r="D4" s="16">
        <v>39518</v>
      </c>
      <c r="E4" s="16">
        <v>130</v>
      </c>
    </row>
    <row r="5" spans="1:5" x14ac:dyDescent="0.3">
      <c r="A5" s="17" t="s">
        <v>33</v>
      </c>
      <c r="B5" s="18">
        <v>1013167</v>
      </c>
      <c r="C5" s="18">
        <v>918002</v>
      </c>
      <c r="D5" s="18">
        <v>39526</v>
      </c>
      <c r="E5" s="18">
        <v>103</v>
      </c>
    </row>
    <row r="6" spans="1:5" x14ac:dyDescent="0.3">
      <c r="A6" s="15" t="s">
        <v>34</v>
      </c>
      <c r="B6" s="16">
        <v>1106662</v>
      </c>
      <c r="C6" s="16">
        <v>957355</v>
      </c>
      <c r="D6" s="16">
        <v>54997</v>
      </c>
      <c r="E6" s="16">
        <v>60</v>
      </c>
    </row>
    <row r="7" spans="1:5" x14ac:dyDescent="0.3">
      <c r="A7" s="17" t="s">
        <v>35</v>
      </c>
      <c r="B7" s="18">
        <v>1152682</v>
      </c>
      <c r="C7" s="18">
        <v>672988</v>
      </c>
      <c r="D7" s="18">
        <v>200363</v>
      </c>
      <c r="E7" s="18">
        <v>84</v>
      </c>
    </row>
    <row r="8" spans="1:5" x14ac:dyDescent="0.3">
      <c r="A8" s="15" t="s">
        <v>36</v>
      </c>
      <c r="B8" s="16">
        <v>1045746</v>
      </c>
      <c r="C8" s="16">
        <v>495523</v>
      </c>
      <c r="D8" s="16">
        <v>353195</v>
      </c>
      <c r="E8" s="16">
        <v>52</v>
      </c>
    </row>
    <row r="9" spans="1:5" x14ac:dyDescent="0.3">
      <c r="A9" s="17" t="s">
        <v>37</v>
      </c>
      <c r="B9" s="18">
        <v>716436</v>
      </c>
      <c r="C9" s="18">
        <v>552633</v>
      </c>
      <c r="D9" s="18">
        <v>144539</v>
      </c>
      <c r="E9" s="18">
        <v>42</v>
      </c>
    </row>
    <row r="10" spans="1:5" x14ac:dyDescent="0.3">
      <c r="A10" s="15" t="s">
        <v>38</v>
      </c>
      <c r="B10" s="16">
        <v>731477</v>
      </c>
      <c r="C10" s="16">
        <v>609185</v>
      </c>
      <c r="D10" s="16">
        <v>122398</v>
      </c>
      <c r="E10" s="16">
        <v>63</v>
      </c>
    </row>
    <row r="11" spans="1:5" x14ac:dyDescent="0.3">
      <c r="A11" s="17" t="s">
        <v>39</v>
      </c>
      <c r="B11" s="18">
        <v>1123942</v>
      </c>
      <c r="C11" s="18">
        <v>862300</v>
      </c>
      <c r="D11" s="18">
        <v>235937</v>
      </c>
      <c r="E11" s="18">
        <v>101</v>
      </c>
    </row>
    <row r="12" spans="1:5" x14ac:dyDescent="0.3">
      <c r="A12" s="15" t="s">
        <v>40</v>
      </c>
      <c r="B12" s="16">
        <v>1306074</v>
      </c>
      <c r="C12" s="16">
        <v>1260723</v>
      </c>
      <c r="D12" s="16">
        <v>0</v>
      </c>
      <c r="E12" s="16">
        <v>152</v>
      </c>
    </row>
    <row r="13" spans="1:5" x14ac:dyDescent="0.3">
      <c r="A13" s="17" t="s">
        <v>41</v>
      </c>
      <c r="B13" s="18">
        <v>1600034</v>
      </c>
      <c r="C13" s="18">
        <v>1600030</v>
      </c>
      <c r="D13" s="18">
        <v>4</v>
      </c>
      <c r="E13" s="18">
        <v>116</v>
      </c>
    </row>
    <row r="14" spans="1:5" x14ac:dyDescent="0.3">
      <c r="A14" s="19" t="s">
        <v>42</v>
      </c>
      <c r="B14" s="20">
        <f>SUM(B2:B13)</f>
        <v>12590541</v>
      </c>
      <c r="C14" s="20">
        <f>SUM(C2:C13)</f>
        <v>10619054</v>
      </c>
      <c r="D14" s="20">
        <f>SUM(D2:D13)</f>
        <v>1209507</v>
      </c>
      <c r="E14" s="20">
        <f>SUM(E2:E13)</f>
        <v>1072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20" customWidth="1"/>
    <col min="3" max="5" width="16" customWidth="1"/>
    <col min="6" max="6" width="14" customWidth="1"/>
  </cols>
  <sheetData>
    <row r="1" spans="1:6" x14ac:dyDescent="0.3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29</v>
      </c>
    </row>
    <row r="2" spans="1:6" x14ac:dyDescent="0.3">
      <c r="A2" s="15">
        <v>1</v>
      </c>
      <c r="B2" s="21" t="s">
        <v>48</v>
      </c>
      <c r="C2" s="16">
        <v>3566421</v>
      </c>
      <c r="D2" s="22">
        <f t="shared" ref="D2:D11" si="0">C2/SUM($C$2:$C$11)</f>
        <v>0.28553363226760836</v>
      </c>
      <c r="E2" s="16">
        <v>505864</v>
      </c>
      <c r="F2" s="15">
        <v>221</v>
      </c>
    </row>
    <row r="3" spans="1:6" x14ac:dyDescent="0.3">
      <c r="A3" s="23">
        <v>2</v>
      </c>
      <c r="B3" s="24" t="s">
        <v>49</v>
      </c>
      <c r="C3" s="25">
        <v>3454016</v>
      </c>
      <c r="D3" s="26">
        <f t="shared" si="0"/>
        <v>0.27653429990190043</v>
      </c>
      <c r="E3" s="25">
        <v>272187</v>
      </c>
      <c r="F3" s="23">
        <v>379</v>
      </c>
    </row>
    <row r="4" spans="1:6" x14ac:dyDescent="0.3">
      <c r="A4" s="15">
        <v>3</v>
      </c>
      <c r="B4" s="21" t="s">
        <v>50</v>
      </c>
      <c r="C4" s="16">
        <v>2275731</v>
      </c>
      <c r="D4" s="22">
        <f t="shared" si="0"/>
        <v>0.18219883140380699</v>
      </c>
      <c r="E4" s="16">
        <v>176416</v>
      </c>
      <c r="F4" s="15">
        <v>97</v>
      </c>
    </row>
    <row r="5" spans="1:6" x14ac:dyDescent="0.3">
      <c r="A5" s="23">
        <v>4</v>
      </c>
      <c r="B5" s="24" t="s">
        <v>51</v>
      </c>
      <c r="C5" s="25">
        <v>1190877</v>
      </c>
      <c r="D5" s="26">
        <f t="shared" si="0"/>
        <v>9.5343605085869754E-2</v>
      </c>
      <c r="E5" s="25">
        <v>163718</v>
      </c>
      <c r="F5" s="23">
        <v>82</v>
      </c>
    </row>
    <row r="6" spans="1:6" x14ac:dyDescent="0.3">
      <c r="A6" s="15">
        <v>5</v>
      </c>
      <c r="B6" s="21" t="s">
        <v>52</v>
      </c>
      <c r="C6" s="16">
        <v>760551</v>
      </c>
      <c r="D6" s="22">
        <f t="shared" si="0"/>
        <v>6.0890985543984241E-2</v>
      </c>
      <c r="E6" s="16">
        <v>108465</v>
      </c>
      <c r="F6" s="15">
        <v>46</v>
      </c>
    </row>
    <row r="7" spans="1:6" x14ac:dyDescent="0.3">
      <c r="A7" s="23">
        <v>6</v>
      </c>
      <c r="B7" s="24" t="s">
        <v>53</v>
      </c>
      <c r="C7" s="25">
        <v>502551</v>
      </c>
      <c r="D7" s="26">
        <f t="shared" si="0"/>
        <v>4.0235073882112872E-2</v>
      </c>
      <c r="E7" s="25">
        <v>63269</v>
      </c>
      <c r="F7" s="23">
        <v>32</v>
      </c>
    </row>
    <row r="8" spans="1:6" x14ac:dyDescent="0.3">
      <c r="A8" s="15">
        <v>7</v>
      </c>
      <c r="B8" s="21" t="s">
        <v>54</v>
      </c>
      <c r="C8" s="16">
        <v>390324</v>
      </c>
      <c r="D8" s="22">
        <f t="shared" si="0"/>
        <v>3.1249992494218146E-2</v>
      </c>
      <c r="E8" s="16">
        <v>57689</v>
      </c>
      <c r="F8" s="15">
        <v>90</v>
      </c>
    </row>
    <row r="9" spans="1:6" x14ac:dyDescent="0.3">
      <c r="A9" s="23">
        <v>8</v>
      </c>
      <c r="B9" s="24" t="s">
        <v>55</v>
      </c>
      <c r="C9" s="25">
        <v>147253</v>
      </c>
      <c r="D9" s="26">
        <f t="shared" si="0"/>
        <v>1.1789321550176531E-2</v>
      </c>
      <c r="E9" s="25">
        <v>19032</v>
      </c>
      <c r="F9" s="23">
        <v>21</v>
      </c>
    </row>
    <row r="10" spans="1:6" x14ac:dyDescent="0.3">
      <c r="A10" s="15">
        <v>9</v>
      </c>
      <c r="B10" s="21" t="s">
        <v>56</v>
      </c>
      <c r="C10" s="16">
        <v>136707</v>
      </c>
      <c r="D10" s="22">
        <f t="shared" si="0"/>
        <v>1.0944991145579263E-2</v>
      </c>
      <c r="E10" s="16">
        <v>15368</v>
      </c>
      <c r="F10" s="15">
        <v>5</v>
      </c>
    </row>
    <row r="11" spans="1:6" x14ac:dyDescent="0.3">
      <c r="A11" s="23">
        <v>10</v>
      </c>
      <c r="B11" s="24" t="s">
        <v>57</v>
      </c>
      <c r="C11" s="25">
        <v>65940</v>
      </c>
      <c r="D11" s="26">
        <f t="shared" si="0"/>
        <v>5.2792667247434045E-3</v>
      </c>
      <c r="E11" s="25">
        <v>376</v>
      </c>
      <c r="F11" s="23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zoomScaleNormal="100" workbookViewId="0"/>
  </sheetViews>
  <sheetFormatPr defaultColWidth="8.6640625" defaultRowHeight="14.4" x14ac:dyDescent="0.3"/>
  <cols>
    <col min="1" max="2" width="16" customWidth="1"/>
    <col min="3" max="3" width="12" customWidth="1"/>
    <col min="4" max="4" width="10" customWidth="1"/>
  </cols>
  <sheetData>
    <row r="1" spans="1:4" x14ac:dyDescent="0.3">
      <c r="A1" s="14" t="s">
        <v>58</v>
      </c>
      <c r="B1" s="14" t="s">
        <v>59</v>
      </c>
      <c r="C1" s="14" t="s">
        <v>46</v>
      </c>
      <c r="D1" s="14" t="s">
        <v>60</v>
      </c>
    </row>
    <row r="2" spans="1:4" x14ac:dyDescent="0.3">
      <c r="A2" s="15" t="s">
        <v>61</v>
      </c>
      <c r="B2" s="16">
        <v>5884779</v>
      </c>
      <c r="C2" s="22">
        <f t="shared" ref="C2:C8" si="0">B2/SUM($B$2:$B$8)</f>
        <v>0.46739675961553045</v>
      </c>
      <c r="D2" s="15">
        <v>423</v>
      </c>
    </row>
    <row r="3" spans="1:4" x14ac:dyDescent="0.3">
      <c r="A3" s="23" t="s">
        <v>62</v>
      </c>
      <c r="B3" s="25">
        <v>3776578</v>
      </c>
      <c r="C3" s="26">
        <f t="shared" si="0"/>
        <v>0.299953544497644</v>
      </c>
      <c r="D3" s="23">
        <v>494</v>
      </c>
    </row>
    <row r="4" spans="1:4" x14ac:dyDescent="0.3">
      <c r="A4" s="15" t="s">
        <v>63</v>
      </c>
      <c r="B4" s="16">
        <v>2252461</v>
      </c>
      <c r="C4" s="22">
        <f t="shared" si="0"/>
        <v>0.17890102118709256</v>
      </c>
      <c r="D4" s="15">
        <v>120</v>
      </c>
    </row>
    <row r="5" spans="1:4" x14ac:dyDescent="0.3">
      <c r="A5" s="23" t="s">
        <v>64</v>
      </c>
      <c r="B5" s="25">
        <v>250235</v>
      </c>
      <c r="C5" s="26">
        <f t="shared" si="0"/>
        <v>1.9874837804850831E-2</v>
      </c>
      <c r="D5" s="23">
        <v>6</v>
      </c>
    </row>
    <row r="6" spans="1:4" x14ac:dyDescent="0.3">
      <c r="A6" s="15" t="s">
        <v>65</v>
      </c>
      <c r="B6" s="16">
        <v>209850</v>
      </c>
      <c r="C6" s="22">
        <f t="shared" si="0"/>
        <v>1.66672716180708E-2</v>
      </c>
      <c r="D6" s="15">
        <v>16</v>
      </c>
    </row>
    <row r="7" spans="1:4" x14ac:dyDescent="0.3">
      <c r="A7" s="23" t="s">
        <v>66</v>
      </c>
      <c r="B7" s="25">
        <v>140628</v>
      </c>
      <c r="C7" s="26">
        <f t="shared" si="0"/>
        <v>1.116933558782969E-2</v>
      </c>
      <c r="D7" s="23">
        <v>9</v>
      </c>
    </row>
    <row r="8" spans="1:4" x14ac:dyDescent="0.3">
      <c r="A8" s="15" t="s">
        <v>67</v>
      </c>
      <c r="B8" s="16">
        <v>76012</v>
      </c>
      <c r="C8" s="22">
        <f t="shared" si="0"/>
        <v>6.0372296889816424E-3</v>
      </c>
      <c r="D8" s="15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8" customWidth="1"/>
    <col min="2" max="2" width="22" customWidth="1"/>
    <col min="3" max="5" width="16" customWidth="1"/>
    <col min="6" max="6" width="14" customWidth="1"/>
  </cols>
  <sheetData>
    <row r="1" spans="1:6" ht="30" customHeight="1" x14ac:dyDescent="0.3">
      <c r="A1" s="1" t="s">
        <v>68</v>
      </c>
      <c r="B1" s="1"/>
      <c r="C1" s="1"/>
      <c r="D1" s="1"/>
      <c r="E1" s="1"/>
      <c r="F1" s="1"/>
    </row>
    <row r="2" spans="1:6" ht="21.75" customHeight="1" x14ac:dyDescent="0.3">
      <c r="A2" s="27" t="s">
        <v>43</v>
      </c>
      <c r="B2" s="27" t="s">
        <v>44</v>
      </c>
      <c r="C2" s="27" t="s">
        <v>45</v>
      </c>
      <c r="D2" s="27" t="s">
        <v>69</v>
      </c>
      <c r="E2" s="27" t="s">
        <v>70</v>
      </c>
      <c r="F2" s="27" t="s">
        <v>29</v>
      </c>
    </row>
    <row r="3" spans="1:6" ht="19.5" customHeight="1" x14ac:dyDescent="0.3">
      <c r="A3" s="28" t="s">
        <v>71</v>
      </c>
      <c r="B3" s="29" t="s">
        <v>48</v>
      </c>
      <c r="C3" s="30">
        <v>3566421</v>
      </c>
      <c r="D3" s="31">
        <v>0.28553363226760797</v>
      </c>
      <c r="E3" s="30">
        <v>505864</v>
      </c>
      <c r="F3" s="28">
        <v>221</v>
      </c>
    </row>
    <row r="4" spans="1:6" ht="19.5" customHeight="1" x14ac:dyDescent="0.3">
      <c r="A4" s="32" t="s">
        <v>72</v>
      </c>
      <c r="B4" s="33" t="s">
        <v>49</v>
      </c>
      <c r="C4" s="34">
        <v>3454016</v>
      </c>
      <c r="D4" s="35">
        <v>0.27653429990189998</v>
      </c>
      <c r="E4" s="34">
        <v>272187</v>
      </c>
      <c r="F4" s="32">
        <v>379</v>
      </c>
    </row>
    <row r="5" spans="1:6" ht="19.5" customHeight="1" x14ac:dyDescent="0.3">
      <c r="A5" s="36" t="s">
        <v>73</v>
      </c>
      <c r="B5" s="37" t="s">
        <v>50</v>
      </c>
      <c r="C5" s="38">
        <v>2275731</v>
      </c>
      <c r="D5" s="39">
        <v>0.18219883140380699</v>
      </c>
      <c r="E5" s="38">
        <v>176416</v>
      </c>
      <c r="F5" s="36">
        <v>97</v>
      </c>
    </row>
    <row r="6" spans="1:6" ht="19.5" customHeight="1" x14ac:dyDescent="0.3">
      <c r="A6" s="40" t="s">
        <v>74</v>
      </c>
      <c r="B6" s="41" t="s">
        <v>51</v>
      </c>
      <c r="C6" s="42">
        <v>1190877</v>
      </c>
      <c r="D6" s="43">
        <v>9.5343605085869795E-2</v>
      </c>
      <c r="E6" s="42">
        <v>163718</v>
      </c>
      <c r="F6" s="40">
        <v>82</v>
      </c>
    </row>
    <row r="7" spans="1:6" ht="19.5" customHeight="1" x14ac:dyDescent="0.3">
      <c r="A7" s="44" t="s">
        <v>75</v>
      </c>
      <c r="B7" s="45" t="s">
        <v>52</v>
      </c>
      <c r="C7" s="46">
        <v>760551</v>
      </c>
      <c r="D7" s="47">
        <v>6.08909855439842E-2</v>
      </c>
      <c r="E7" s="46">
        <v>108465</v>
      </c>
      <c r="F7" s="44">
        <v>46</v>
      </c>
    </row>
    <row r="8" spans="1:6" ht="19.5" customHeight="1" x14ac:dyDescent="0.3">
      <c r="A8" s="40" t="s">
        <v>76</v>
      </c>
      <c r="B8" s="41" t="s">
        <v>53</v>
      </c>
      <c r="C8" s="42">
        <v>502551</v>
      </c>
      <c r="D8" s="43">
        <v>4.02350738821129E-2</v>
      </c>
      <c r="E8" s="42">
        <v>63269</v>
      </c>
      <c r="F8" s="40">
        <v>32</v>
      </c>
    </row>
    <row r="9" spans="1:6" ht="19.5" customHeight="1" x14ac:dyDescent="0.3">
      <c r="A9" s="44" t="s">
        <v>77</v>
      </c>
      <c r="B9" s="45" t="s">
        <v>54</v>
      </c>
      <c r="C9" s="46">
        <v>390324</v>
      </c>
      <c r="D9" s="47">
        <v>3.1249992494218198E-2</v>
      </c>
      <c r="E9" s="46">
        <v>57689</v>
      </c>
      <c r="F9" s="44">
        <v>90</v>
      </c>
    </row>
    <row r="10" spans="1:6" ht="19.5" customHeight="1" x14ac:dyDescent="0.3">
      <c r="A10" s="40" t="s">
        <v>78</v>
      </c>
      <c r="B10" s="41" t="s">
        <v>55</v>
      </c>
      <c r="C10" s="42">
        <v>147253</v>
      </c>
      <c r="D10" s="43">
        <v>1.17893215501765E-2</v>
      </c>
      <c r="E10" s="42">
        <v>19032</v>
      </c>
      <c r="F10" s="40">
        <v>21</v>
      </c>
    </row>
    <row r="11" spans="1:6" ht="19.5" customHeight="1" x14ac:dyDescent="0.3">
      <c r="A11" s="44" t="s">
        <v>79</v>
      </c>
      <c r="B11" s="45" t="s">
        <v>56</v>
      </c>
      <c r="C11" s="46">
        <v>136707</v>
      </c>
      <c r="D11" s="47">
        <v>1.09449911455793E-2</v>
      </c>
      <c r="E11" s="46">
        <v>15368</v>
      </c>
      <c r="F11" s="44">
        <v>5</v>
      </c>
    </row>
    <row r="12" spans="1:6" ht="19.5" customHeight="1" x14ac:dyDescent="0.3">
      <c r="A12" s="40" t="s">
        <v>80</v>
      </c>
      <c r="B12" s="41" t="s">
        <v>57</v>
      </c>
      <c r="C12" s="42">
        <v>65940</v>
      </c>
      <c r="D12" s="43">
        <v>5.2792667247434097E-3</v>
      </c>
      <c r="E12" s="42">
        <v>376</v>
      </c>
      <c r="F12" s="40">
        <v>64</v>
      </c>
    </row>
  </sheetData>
  <mergeCells count="1">
    <mergeCell ref="A1:F1"/>
  </mergeCells>
  <conditionalFormatting sqref="C3:C12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{B9A75071-9A2C-49FA-9C1C-D1C01D84F6B9}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A75071-9A2C-49FA-9C1C-D1C01D84F6B9}">
            <x14:dataBar axisPosition="none">
              <x14:cfvo type="min"/>
              <x14:cfvo type="max"/>
              <x14:negativeFillColor rgb="FF2E75B6"/>
            </x14:dataBar>
          </x14:cfRule>
          <xm:sqref>C3:C12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Monthly Data</vt:lpstr>
      <vt:lpstr>Product Data</vt:lpstr>
      <vt:lpstr>Payment Data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Manish Mahato</cp:lastModifiedBy>
  <cp:revision>1</cp:revision>
  <dcterms:created xsi:type="dcterms:W3CDTF">2026-05-11T10:36:56Z</dcterms:created>
  <dcterms:modified xsi:type="dcterms:W3CDTF">2026-05-11T11:03:36Z</dcterms:modified>
  <dc:language>en-US</dc:language>
</cp:coreProperties>
</file>